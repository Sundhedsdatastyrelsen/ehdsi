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hansbugge/gtsrc/lms/"/>
    </mc:Choice>
  </mc:AlternateContent>
  <xr:revisionPtr revIDLastSave="0" documentId="8_{D1EBE20A-0ADC-7246-B619-6405E048481F}" xr6:coauthVersionLast="47" xr6:coauthVersionMax="47" xr10:uidLastSave="{00000000-0000-0000-0000-000000000000}"/>
  <bookViews>
    <workbookView xWindow="0" yWindow="880" windowWidth="41120" windowHeight="25700" tabRatio="500" xr2:uid="{9154AAA1-FE72-ED46-A378-7AD6E71A2ACE}"/>
  </bookViews>
  <sheets>
    <sheet name="Ny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E61" i="1"/>
  <c r="E75" i="1"/>
  <c r="E86" i="1"/>
  <c r="E91" i="1"/>
  <c r="E97" i="1"/>
  <c r="E104" i="1"/>
  <c r="E110" i="1"/>
  <c r="E117" i="1"/>
  <c r="E127" i="1"/>
  <c r="E133" i="1"/>
  <c r="E140" i="1"/>
  <c r="E148" i="1"/>
  <c r="E155" i="1"/>
  <c r="E161" i="1"/>
  <c r="E169" i="1"/>
  <c r="E175" i="1"/>
  <c r="E181" i="1"/>
  <c r="E186" i="1"/>
  <c r="E192" i="1"/>
  <c r="E200" i="1"/>
  <c r="E211" i="1"/>
  <c r="E217" i="1"/>
  <c r="E226" i="1"/>
  <c r="E242" i="1"/>
  <c r="E249" i="1"/>
  <c r="E257" i="1"/>
  <c r="E265" i="1"/>
  <c r="E274" i="1"/>
  <c r="E283" i="1"/>
  <c r="E290" i="1"/>
  <c r="E295" i="1"/>
  <c r="E308" i="1"/>
  <c r="E320" i="1"/>
  <c r="E327" i="1"/>
</calcChain>
</file>

<file path=xl/sharedStrings.xml><?xml version="1.0" encoding="utf-8"?>
<sst xmlns="http://schemas.openxmlformats.org/spreadsheetml/2006/main" count="1419" uniqueCount="567">
  <si>
    <t>DATABESKRIVELSE FOR LMS-FILER</t>
  </si>
  <si>
    <t>Databeskrivelse for data hvor DrugID starter med 2810</t>
  </si>
  <si>
    <t>Databeskrivelse for data hvor DrugID starter med 2911</t>
  </si>
  <si>
    <t>LMS / 20230101</t>
  </si>
  <si>
    <t>Tab.
navn</t>
  </si>
  <si>
    <t>Anvendt I FKM</t>
  </si>
  <si>
    <t>Indhold</t>
  </si>
  <si>
    <t>Antal</t>
  </si>
  <si>
    <t>Fra - til</t>
  </si>
  <si>
    <t>Bemærkninger</t>
  </si>
  <si>
    <t>Felt nr.</t>
  </si>
  <si>
    <t>Kar.</t>
  </si>
  <si>
    <t>LMS01</t>
  </si>
  <si>
    <t>Grunddata, Lægemiddel</t>
  </si>
  <si>
    <t>Grunddata, Cannabisprodukt</t>
  </si>
  <si>
    <t>01</t>
  </si>
  <si>
    <t>Lægemiddelordination, angives ved ordination</t>
  </si>
  <si>
    <t>DrugID</t>
  </si>
  <si>
    <t>1-11</t>
  </si>
  <si>
    <t>02</t>
  </si>
  <si>
    <t>-</t>
  </si>
  <si>
    <t>Varetype</t>
  </si>
  <si>
    <t>12-13</t>
  </si>
  <si>
    <t>Udfyldt med SP (Specialiteter)</t>
  </si>
  <si>
    <t>03</t>
  </si>
  <si>
    <t>Varedeltype</t>
  </si>
  <si>
    <t>14-15</t>
  </si>
  <si>
    <t>Udfyldt med LM (lægemiddel, reg.) eller MC (Cannabisprodukt)</t>
  </si>
  <si>
    <t>04</t>
  </si>
  <si>
    <t>Alfabet. sekvensplads</t>
  </si>
  <si>
    <t>16-24</t>
  </si>
  <si>
    <t>05</t>
  </si>
  <si>
    <t>Spec. nummer</t>
  </si>
  <si>
    <t>25-29</t>
  </si>
  <si>
    <t xml:space="preserve">D.sp.nr. (decentrale) - Alm. nr (centrale) </t>
  </si>
  <si>
    <t>06</t>
  </si>
  <si>
    <t>Lægemiddelordination, angives ved ordination, udfyldes af FMK ud fra drugid</t>
  </si>
  <si>
    <t>Navn</t>
  </si>
  <si>
    <t>30-59</t>
  </si>
  <si>
    <t>Evt. forkortet</t>
  </si>
  <si>
    <t>07</t>
  </si>
  <si>
    <t>- (Uforkortet navn fra LMS22 anvendes)</t>
  </si>
  <si>
    <t>Lægemiddelform, tekst</t>
  </si>
  <si>
    <t>Produktform, tekst</t>
  </si>
  <si>
    <t>60-79</t>
  </si>
  <si>
    <t>08</t>
  </si>
  <si>
    <t>Lægemiddelordination, udfyldes af FMK ud fra drugid</t>
  </si>
  <si>
    <t>Form-kode</t>
  </si>
  <si>
    <t>80-86</t>
  </si>
  <si>
    <t>Ref. t. LMS22, felt 01</t>
  </si>
  <si>
    <t>09</t>
  </si>
  <si>
    <t>Kode for yderligere form-oplysn.</t>
  </si>
  <si>
    <t>87-93</t>
  </si>
  <si>
    <t>Feltet er tomt pt.</t>
  </si>
  <si>
    <t>10</t>
  </si>
  <si>
    <t>Styrke (klar tekst)</t>
  </si>
  <si>
    <t>94-113</t>
  </si>
  <si>
    <t>11</t>
  </si>
  <si>
    <t>Lægemiddelordination (optionelt), udfyldes af FMK ud fra drugid</t>
  </si>
  <si>
    <t>Styrke, numerisk</t>
  </si>
  <si>
    <t>114-123</t>
  </si>
  <si>
    <t>12</t>
  </si>
  <si>
    <t>Styrke, enhed</t>
  </si>
  <si>
    <t>124-126</t>
  </si>
  <si>
    <t>Ref. t. LMS15, enhedstype 3</t>
  </si>
  <si>
    <t>13</t>
  </si>
  <si>
    <t>MT-indehaver</t>
  </si>
  <si>
    <t>Mellemproduktfremstiller</t>
  </si>
  <si>
    <t>127-132</t>
  </si>
  <si>
    <t>Ref. t. LMS09</t>
  </si>
  <si>
    <t>14</t>
  </si>
  <si>
    <t>Repræsentant (distributør)</t>
  </si>
  <si>
    <t>133-138</t>
  </si>
  <si>
    <t>ATC</t>
  </si>
  <si>
    <t>139-146</t>
  </si>
  <si>
    <t>Ref. t. LMS12</t>
  </si>
  <si>
    <t>- (På lægemidlet her angives op til 4 admistrationsveje, på lægemiddelordinationen angives en enkelt valgt af lægen, som kan afvige fra en af disse 4)</t>
  </si>
  <si>
    <t>Administrationsvej</t>
  </si>
  <si>
    <t>147-154</t>
  </si>
  <si>
    <t>4 x 2 kar. (Ref. t. LMS11)</t>
  </si>
  <si>
    <t>Trafikadvarsel</t>
  </si>
  <si>
    <t>155</t>
  </si>
  <si>
    <t>2 muligh.: J eller blank</t>
  </si>
  <si>
    <t>Substitution</t>
  </si>
  <si>
    <t>156</t>
  </si>
  <si>
    <t>2 muligh.: G eller blank</t>
  </si>
  <si>
    <t>Genordination</t>
  </si>
  <si>
    <t>157</t>
  </si>
  <si>
    <t>3 muligh.: N (nej), J (ja) eller B (ja med begrænsninger)</t>
  </si>
  <si>
    <t>20</t>
  </si>
  <si>
    <t>Blank</t>
  </si>
  <si>
    <t>158</t>
  </si>
  <si>
    <t>21</t>
  </si>
  <si>
    <t>159</t>
  </si>
  <si>
    <t>22</t>
  </si>
  <si>
    <t>Lægemidlets substitutionsgruppe</t>
  </si>
  <si>
    <t>Cannabisproduktets substitutionsgruppe</t>
  </si>
  <si>
    <t>160-163</t>
  </si>
  <si>
    <t>Substitutionsgruppenr. på DrugID-niveau</t>
  </si>
  <si>
    <t>23</t>
  </si>
  <si>
    <t>Egnet til dosisdispensering</t>
  </si>
  <si>
    <t>164</t>
  </si>
  <si>
    <t>2 muligh.: D eller blank</t>
  </si>
  <si>
    <t>24</t>
  </si>
  <si>
    <t>Dato for afregistr. af lægemiddel</t>
  </si>
  <si>
    <t>Dato for afregistr. af cannabisprodukt</t>
  </si>
  <si>
    <t>165-172</t>
  </si>
  <si>
    <t>Format: ååååmmdd</t>
  </si>
  <si>
    <t>25</t>
  </si>
  <si>
    <t>Karantænedato</t>
  </si>
  <si>
    <t>173-180</t>
  </si>
  <si>
    <t>Total record-længde:</t>
  </si>
  <si>
    <t>LMS02</t>
  </si>
  <si>
    <t>Grunddata, Pakning</t>
  </si>
  <si>
    <t>- (Er her en reference til LMS01)</t>
  </si>
  <si>
    <t>Ref. t. LMS01, felt 01</t>
  </si>
  <si>
    <t>Recept, angives ved receptudstedelse</t>
  </si>
  <si>
    <t>Varenummer</t>
  </si>
  <si>
    <t>12-17</t>
  </si>
  <si>
    <t>Alfabet. sekvensnr.</t>
  </si>
  <si>
    <t>18-20</t>
  </si>
  <si>
    <t>Varenummer for delpakning</t>
  </si>
  <si>
    <t>21-26</t>
  </si>
  <si>
    <t>Udfyldes for multipakningen</t>
  </si>
  <si>
    <t>Antal delpakninger</t>
  </si>
  <si>
    <t>27-29</t>
  </si>
  <si>
    <t>Antal delpakn. i stor/multipakning</t>
  </si>
  <si>
    <t>Recept,  udfyldes af FMK ud fra varenummer</t>
  </si>
  <si>
    <t>Pakningsstørrelse, klartekst</t>
  </si>
  <si>
    <t>Recept,  udfyldes af FMK ud fra varenummer (kan være udeladt ved pakningskombinationer, f.eks. “4 * 10 ml”)</t>
  </si>
  <si>
    <t>Pakningsstørrelse, numerisk</t>
  </si>
  <si>
    <t>60-67</t>
  </si>
  <si>
    <t>Brutto</t>
  </si>
  <si>
    <t>Pakningsstørrelse, enhed</t>
  </si>
  <si>
    <t>68-69</t>
  </si>
  <si>
    <t>Ref. t. LMS15, enhedstype 4</t>
  </si>
  <si>
    <t>Emballagetype</t>
  </si>
  <si>
    <t>70-73</t>
  </si>
  <si>
    <t>Ref. t. LMS14</t>
  </si>
  <si>
    <t>Udleveringsbestemmelse</t>
  </si>
  <si>
    <t>74-78</t>
  </si>
  <si>
    <t>Ref. t. LMS18</t>
  </si>
  <si>
    <t>Udlevering, speciale</t>
  </si>
  <si>
    <t>79-83</t>
  </si>
  <si>
    <t>Ref. t. LMS19</t>
  </si>
  <si>
    <t>Medicintilskudskode</t>
  </si>
  <si>
    <t>84-85</t>
  </si>
  <si>
    <t>Ref. t. LMS16</t>
  </si>
  <si>
    <t>Klausul for medicintilskud</t>
  </si>
  <si>
    <t>86-90</t>
  </si>
  <si>
    <t>Ref. t. LMS17</t>
  </si>
  <si>
    <t>Antal DDD pr. pakning</t>
  </si>
  <si>
    <t>91-99</t>
  </si>
  <si>
    <t>15</t>
  </si>
  <si>
    <t>Opbevaringstid, numerisk</t>
  </si>
  <si>
    <t>100-101</t>
  </si>
  <si>
    <t>Hos distributør</t>
  </si>
  <si>
    <t>16</t>
  </si>
  <si>
    <t>Opbevaringstid, enhed</t>
  </si>
  <si>
    <t>102</t>
  </si>
  <si>
    <t>Ref. t. LMS15, enhedstype 1</t>
  </si>
  <si>
    <t>17</t>
  </si>
  <si>
    <t>Opbevaringsbetingelser</t>
  </si>
  <si>
    <t>103</t>
  </si>
  <si>
    <t>Ref. t. LMS20</t>
  </si>
  <si>
    <t>18</t>
  </si>
  <si>
    <t>Oprettelsesdato</t>
  </si>
  <si>
    <t>104-111</t>
  </si>
  <si>
    <t>19</t>
  </si>
  <si>
    <t>Dato for seneste prisændring</t>
  </si>
  <si>
    <t>112-119</t>
  </si>
  <si>
    <t>Udgået dato</t>
  </si>
  <si>
    <t>120-127</t>
  </si>
  <si>
    <t>Beregningskode AIP -&gt; reg.pris</t>
  </si>
  <si>
    <t>128</t>
  </si>
  <si>
    <t>Ref. t. LMS13</t>
  </si>
  <si>
    <t>Pakning optaget i tilskudsgruppe</t>
  </si>
  <si>
    <t>129</t>
  </si>
  <si>
    <t>2 muligh.: F eller blank</t>
  </si>
  <si>
    <t>Færdigfremstillingsgebyr</t>
  </si>
  <si>
    <t>130</t>
  </si>
  <si>
    <t>2 muligh.: B eller blank</t>
  </si>
  <si>
    <t>Safety Features</t>
  </si>
  <si>
    <t>131</t>
  </si>
  <si>
    <t>3 muligh.: 0 (skal ikke have), 1 (kan være med) eller 2 (skal have)</t>
  </si>
  <si>
    <t>Pakningsdistributør</t>
  </si>
  <si>
    <t>132-137</t>
  </si>
  <si>
    <t>Total record-længde</t>
  </si>
  <si>
    <t>LMS03</t>
  </si>
  <si>
    <t>Grunddata, Priser</t>
  </si>
  <si>
    <t>Alle priser er i øre med foranstillede nuller</t>
  </si>
  <si>
    <t>1-6</t>
  </si>
  <si>
    <t>Ref. t. LMS02, felt 02</t>
  </si>
  <si>
    <t>AIP</t>
  </si>
  <si>
    <t>7-15</t>
  </si>
  <si>
    <t>Apotekets indkøbspris</t>
  </si>
  <si>
    <t>Registerpris</t>
  </si>
  <si>
    <t>Beregning i prisbekendtg., § 2, stk. 1, 9 og 10</t>
  </si>
  <si>
    <t>Ekspeditionens saml. pris (ESP)</t>
  </si>
  <si>
    <t>25-33</t>
  </si>
  <si>
    <t>Reg.pris + evt. receptur- og færdigtilb.gebyr</t>
  </si>
  <si>
    <t>Tom</t>
  </si>
  <si>
    <t>34-42</t>
  </si>
  <si>
    <t>Udfyldt med 000000000</t>
  </si>
  <si>
    <t>43-51</t>
  </si>
  <si>
    <t>Tilskudspris (TSP)</t>
  </si>
  <si>
    <t>52-60</t>
  </si>
  <si>
    <t>Tilskudspris (human) eller 000000000 (veterinær)</t>
  </si>
  <si>
    <t>Leverancepris til hospitaler</t>
  </si>
  <si>
    <t>61-69</t>
  </si>
  <si>
    <t>Beregning i prisbekendtgørelsen, § 2, stk. 3, 4, 5, 9 og 10</t>
  </si>
  <si>
    <t>70-78</t>
  </si>
  <si>
    <t>Ikke-tilskudsberettiget del</t>
  </si>
  <si>
    <t>79-87</t>
  </si>
  <si>
    <t>Fx utensilie eller del af kombinationspakn.</t>
  </si>
  <si>
    <t>88-96</t>
  </si>
  <si>
    <t>LMS04</t>
  </si>
  <si>
    <t>Substitutionsgruppenummer</t>
  </si>
  <si>
    <t>1-4</t>
  </si>
  <si>
    <t>Substitutionsgruppe for pakningen</t>
  </si>
  <si>
    <t>Receptens varenummer</t>
  </si>
  <si>
    <t>5-10</t>
  </si>
  <si>
    <t>Varenr. hvis substitutionsmuligheder skal findes</t>
  </si>
  <si>
    <t>Numerisk pakningsstørrelse</t>
  </si>
  <si>
    <t>11-18</t>
  </si>
  <si>
    <t>Felt 07 i LMS02</t>
  </si>
  <si>
    <t>Prod. alfabetiske sekvensplads</t>
  </si>
  <si>
    <t>19-27</t>
  </si>
  <si>
    <t>Felt 04 i LMS01</t>
  </si>
  <si>
    <t>28-34</t>
  </si>
  <si>
    <t>Substitutionskode for pakning</t>
  </si>
  <si>
    <t>35</t>
  </si>
  <si>
    <t>Værdier=A-B-C (for varenr. i felt 02)</t>
  </si>
  <si>
    <t>Billigste varenummer</t>
  </si>
  <si>
    <t>36-41</t>
  </si>
  <si>
    <t>Henvisning til billigste pakning</t>
  </si>
  <si>
    <t>42-47</t>
  </si>
  <si>
    <t>LMS05</t>
  </si>
  <si>
    <t>Substitution af lægemidler uden fast pris</t>
  </si>
  <si>
    <t>LMS07</t>
  </si>
  <si>
    <t>Tilskudsprisgrupper (pakningsniveau)</t>
  </si>
  <si>
    <t>Tilskudspris-gruppe</t>
  </si>
  <si>
    <t>Ref. t. LMS02</t>
  </si>
  <si>
    <t>LMS09</t>
  </si>
  <si>
    <t>Firmaliste</t>
  </si>
  <si>
    <t>Firmanummer</t>
  </si>
  <si>
    <t>Ref. t. LMS01, felt 13 - 14</t>
  </si>
  <si>
    <t>Firmamærke (kort)</t>
  </si>
  <si>
    <t>7-26</t>
  </si>
  <si>
    <t>P.t. tomt</t>
  </si>
  <si>
    <t>Firmamærke, langt navn</t>
  </si>
  <si>
    <t>27-58</t>
  </si>
  <si>
    <t>Parallelimportør-kode</t>
  </si>
  <si>
    <t>59-60</t>
  </si>
  <si>
    <t>LMS10</t>
  </si>
  <si>
    <t>Udgåede navne</t>
  </si>
  <si>
    <t>Ref. t. LMS01</t>
  </si>
  <si>
    <t>Dato for ændringen</t>
  </si>
  <si>
    <t>12-19</t>
  </si>
  <si>
    <t>Tidligere navn</t>
  </si>
  <si>
    <t>20-69</t>
  </si>
  <si>
    <t>LMS11</t>
  </si>
  <si>
    <t>Lægemiddelordinationen, der angives en enkelt administrationsvej ved ordination</t>
  </si>
  <si>
    <t>Kode</t>
  </si>
  <si>
    <t>1-2</t>
  </si>
  <si>
    <t>Ref. t. LMS01, felt 16</t>
  </si>
  <si>
    <t>Kort tekst</t>
  </si>
  <si>
    <t>3-12</t>
  </si>
  <si>
    <t>Lægemiddelordinationen, udfyldes af FMK ud fra kode</t>
  </si>
  <si>
    <t>Tekst</t>
  </si>
  <si>
    <t>13-62</t>
  </si>
  <si>
    <t>63</t>
  </si>
  <si>
    <t>LMS12</t>
  </si>
  <si>
    <t>ATC-koder og tekst</t>
  </si>
  <si>
    <t>Lægemiddelordinationen, udfyldes af FMK ud fra drugid, som en samlet streng med de 5 niveauer</t>
  </si>
  <si>
    <t>ATC-niveau 1</t>
  </si>
  <si>
    <t>Felt 01-05 ref. t. LMS01, felt 15</t>
  </si>
  <si>
    <t>(Se herover)</t>
  </si>
  <si>
    <t>ATC-niveau 2</t>
  </si>
  <si>
    <t>3-4</t>
  </si>
  <si>
    <t>ATC-niveau 3</t>
  </si>
  <si>
    <t>5</t>
  </si>
  <si>
    <t>ATC-niveau 4</t>
  </si>
  <si>
    <t>6</t>
  </si>
  <si>
    <t>ATC-niveau 5</t>
  </si>
  <si>
    <t>7-8</t>
  </si>
  <si>
    <t>Lægemiddelordinationen, udfyldes af FMK ud fra drugid</t>
  </si>
  <si>
    <t>9-80</t>
  </si>
  <si>
    <t>81-152</t>
  </si>
  <si>
    <t>LMS13</t>
  </si>
  <si>
    <t>Beregningsregler</t>
  </si>
  <si>
    <t>1</t>
  </si>
  <si>
    <t>Ref. t. LMS02, felt 21</t>
  </si>
  <si>
    <t>2-51</t>
  </si>
  <si>
    <t>52</t>
  </si>
  <si>
    <t>LMS14</t>
  </si>
  <si>
    <t>Emballagetype-koder</t>
  </si>
  <si>
    <t>Ref. t. LMS02, felt 09</t>
  </si>
  <si>
    <t>5-14</t>
  </si>
  <si>
    <t>15-64</t>
  </si>
  <si>
    <t>65</t>
  </si>
  <si>
    <t>LMS15</t>
  </si>
  <si>
    <t>Div. enheder</t>
  </si>
  <si>
    <t>Enhedstype</t>
  </si>
  <si>
    <t>Styrke=3, pakning=4, tid=1</t>
  </si>
  <si>
    <t>Lægemiddelordination: Styrkeenhed. Udfyldes af FMK ud fra drugid.
Recept: Pakningsstørrelsesenhed. Udfyldes af FMK ud fra varenummer.</t>
  </si>
  <si>
    <t>2-4</t>
  </si>
  <si>
    <t>LMS01, felt 12 og LMS02, felt 08 og 16</t>
  </si>
  <si>
    <t xml:space="preserve">- </t>
  </si>
  <si>
    <t>Lægemiddelordination og recept, udfyldes af FMK som herover</t>
  </si>
  <si>
    <t>LMS16</t>
  </si>
  <si>
    <t>Medicintilskud</t>
  </si>
  <si>
    <t>Ref. t. LMS02, felt 12</t>
  </si>
  <si>
    <t>LMS17</t>
  </si>
  <si>
    <t>Klausulering</t>
  </si>
  <si>
    <t>1-5</t>
  </si>
  <si>
    <t>Ref. t. LMS02, felt 13</t>
  </si>
  <si>
    <t>6-55</t>
  </si>
  <si>
    <t>Klausultekst, forkortet</t>
  </si>
  <si>
    <t>56-555</t>
  </si>
  <si>
    <t>Tilskudsklausul (sygdom/pensionist/kroniker)</t>
  </si>
  <si>
    <t>LMS18</t>
  </si>
  <si>
    <t>Udleveringsbestemmelser</t>
  </si>
  <si>
    <t>Ref. t. LMS02, felt 10</t>
  </si>
  <si>
    <t>Udleveringsgruppe</t>
  </si>
  <si>
    <t>Recept: A eller B, håndkøb: H</t>
  </si>
  <si>
    <t>7-16</t>
  </si>
  <si>
    <t>17-66</t>
  </si>
  <si>
    <t>67</t>
  </si>
  <si>
    <t>LMS19</t>
  </si>
  <si>
    <t>Speciale for NBS</t>
  </si>
  <si>
    <t>Ref. t. LMS02, felt 11</t>
  </si>
  <si>
    <t>6-15</t>
  </si>
  <si>
    <t>Speciale, forkortet</t>
  </si>
  <si>
    <t>16-65</t>
  </si>
  <si>
    <t>Tekst for speciale</t>
  </si>
  <si>
    <t>LMS20</t>
  </si>
  <si>
    <t>Ref. t. LMS02, felt 17</t>
  </si>
  <si>
    <t>2-11</t>
  </si>
  <si>
    <t>12-61</t>
  </si>
  <si>
    <t>LMS21</t>
  </si>
  <si>
    <t>Lægemiddelnavne</t>
  </si>
  <si>
    <t>Cannabisproduktnavne</t>
  </si>
  <si>
    <t>Lægemidlets uforkortede navn</t>
  </si>
  <si>
    <t>Cannabisproduktets uforkortede navn</t>
  </si>
  <si>
    <t>12-71</t>
  </si>
  <si>
    <t>LMS22</t>
  </si>
  <si>
    <t>Lægemiddelform-betegnelser</t>
  </si>
  <si>
    <t>Produktform-betegnelser</t>
  </si>
  <si>
    <t>1-7</t>
  </si>
  <si>
    <t>Ref. t. LMS01, felt 08</t>
  </si>
  <si>
    <t>8-107</t>
  </si>
  <si>
    <t>Aktiv / inaktiv</t>
  </si>
  <si>
    <t>108</t>
  </si>
  <si>
    <t>A (Aktiv)=DLS o.l.-I (inaktiv)=Ikke anerkendt term</t>
  </si>
  <si>
    <t>Toltal record-længde</t>
  </si>
  <si>
    <t>LMS23</t>
  </si>
  <si>
    <t>Tilskudsintervaller</t>
  </si>
  <si>
    <t>Type</t>
  </si>
  <si>
    <t>Patienttype: almen, barn, kroniker, terminal, cannabis</t>
  </si>
  <si>
    <t>Niveau</t>
  </si>
  <si>
    <t>3</t>
  </si>
  <si>
    <t>fx 1-4 for alment tilskud, 1-3 for barn</t>
  </si>
  <si>
    <t>Nedre grænse</t>
  </si>
  <si>
    <t>4-11</t>
  </si>
  <si>
    <t>Nedre beløbsgrænse for niveauet (i øre)</t>
  </si>
  <si>
    <t>Øvre grænse</t>
  </si>
  <si>
    <t>Øvre beløbsgrænse for niveauet (i øre)</t>
  </si>
  <si>
    <t>Procent</t>
  </si>
  <si>
    <t>20-24</t>
  </si>
  <si>
    <t>Tilskudsprocent</t>
  </si>
  <si>
    <t>LMS24</t>
  </si>
  <si>
    <t>Oplysninger om dosisdispensering</t>
  </si>
  <si>
    <t>18-21</t>
  </si>
  <si>
    <t>Ref. t. LMS01, felt 22. Kan være blank</t>
  </si>
  <si>
    <t>Mindste AIP pr. enhed</t>
  </si>
  <si>
    <t>22-30</t>
  </si>
  <si>
    <t>Mindste AIP for alle aktive pakn. pr. DrugID</t>
  </si>
  <si>
    <t>Mindste registerpris/enh.</t>
  </si>
  <si>
    <t>31-39</t>
  </si>
  <si>
    <t>Mindste reg.pris for alle aktive pakn. pr. DrugID</t>
  </si>
  <si>
    <t>TSP pr. enhed</t>
  </si>
  <si>
    <t>40-48</t>
  </si>
  <si>
    <t>Tilskudspris pr. enhed</t>
  </si>
  <si>
    <t>Kode for billigste DrugID</t>
  </si>
  <si>
    <t>49</t>
  </si>
  <si>
    <t>Værdier = A - B - C</t>
  </si>
  <si>
    <t>Billigste DrugID</t>
  </si>
  <si>
    <t>50-60</t>
  </si>
  <si>
    <t>Henvisning til billigste DrugID</t>
  </si>
  <si>
    <t>LMS25</t>
  </si>
  <si>
    <t>Indikationskode</t>
  </si>
  <si>
    <t>- (Dette er en referencetabel, der knytter (mulige) indikationer til lægemiddel)</t>
  </si>
  <si>
    <t>1-8</t>
  </si>
  <si>
    <t>9-15</t>
  </si>
  <si>
    <t>Ref. t. LMS26</t>
  </si>
  <si>
    <t>16-26</t>
  </si>
  <si>
    <t>LMS26</t>
  </si>
  <si>
    <t>Indikation</t>
  </si>
  <si>
    <t>Lægemiddelordinationen, der angives en indikation ved ordination</t>
  </si>
  <si>
    <t>Ref. t. LMS25</t>
  </si>
  <si>
    <t>Indikationstekst, total</t>
  </si>
  <si>
    <t>8-85</t>
  </si>
  <si>
    <t>Felt 03 + 04 + 05</t>
  </si>
  <si>
    <t>Indikationstekst, linie 1</t>
  </si>
  <si>
    <t>86-111</t>
  </si>
  <si>
    <t>Indikationstekst, linie 2</t>
  </si>
  <si>
    <t>112-137</t>
  </si>
  <si>
    <t>Indikationstekst, linie 3</t>
  </si>
  <si>
    <t>138-163</t>
  </si>
  <si>
    <t>Aktiv / Inaktiv</t>
  </si>
  <si>
    <t>A = Aktiv kode. I = Inaktiv kode (bør ikke anvendes)</t>
  </si>
  <si>
    <t>LMS27</t>
  </si>
  <si>
    <t>Doseringskode</t>
  </si>
  <si>
    <t>- (Strukturerede doseringer eller evt. fritekst anvendes i FMK)</t>
  </si>
  <si>
    <t>Evt. Doseringskode</t>
  </si>
  <si>
    <t>12-18</t>
  </si>
  <si>
    <t>Ref. t. LMS28</t>
  </si>
  <si>
    <t>LMS28</t>
  </si>
  <si>
    <t>Dosering</t>
  </si>
  <si>
    <t>Ref. t. LMS27</t>
  </si>
  <si>
    <t>Dosering, kort tekst</t>
  </si>
  <si>
    <t>Evt. Dosering, kort tekst</t>
  </si>
  <si>
    <t>8-17</t>
  </si>
  <si>
    <t>Doseringstekst, total</t>
  </si>
  <si>
    <t>Evt. Doseringstekst, total</t>
  </si>
  <si>
    <t>18-95</t>
  </si>
  <si>
    <t>Felt 05 + 06 + 07</t>
  </si>
  <si>
    <t>Antal enh./døgn</t>
  </si>
  <si>
    <t>96-104</t>
  </si>
  <si>
    <t>Doseringstekst, linie 1</t>
  </si>
  <si>
    <t>Evt. Doseringstekst, linie 1</t>
  </si>
  <si>
    <t>105-130</t>
  </si>
  <si>
    <t>Doseringstekst, linie 2</t>
  </si>
  <si>
    <t>Evt. Doseringstekst, linie 2</t>
  </si>
  <si>
    <t>131-156</t>
  </si>
  <si>
    <t>Doseringstekst, linie 3</t>
  </si>
  <si>
    <t>Evt. Doseringstekst, linie 3</t>
  </si>
  <si>
    <t>157-182</t>
  </si>
  <si>
    <t>183</t>
  </si>
  <si>
    <t>LMS29</t>
  </si>
  <si>
    <t>Rekommandationer</t>
  </si>
  <si>
    <t>Rekommandationsgruppe</t>
  </si>
  <si>
    <t>5-15</t>
  </si>
  <si>
    <t>16-21</t>
  </si>
  <si>
    <t>Rekommandationsniveau</t>
  </si>
  <si>
    <t>22-46</t>
  </si>
  <si>
    <t>Værdier: Anbefales / … med forbehold / …ikke</t>
  </si>
  <si>
    <t>LMS30</t>
  </si>
  <si>
    <t>Indholdsstoffer</t>
  </si>
  <si>
    <t>- (Er her en redundant reference til LMS02)</t>
  </si>
  <si>
    <t>Stofklasse</t>
  </si>
  <si>
    <t>18-117</t>
  </si>
  <si>
    <t>Substansgruppe</t>
  </si>
  <si>
    <t>118-217</t>
  </si>
  <si>
    <t>Substans</t>
  </si>
  <si>
    <t>218-367</t>
  </si>
  <si>
    <t>Kun aktive substanser</t>
  </si>
  <si>
    <t>LMS31</t>
  </si>
  <si>
    <t>Enhedspriser</t>
  </si>
  <si>
    <t>Pris pr. enhed</t>
  </si>
  <si>
    <t>18-26</t>
  </si>
  <si>
    <t>Pris = Ekspeditionens samlede pris (ESP)</t>
  </si>
  <si>
    <t>Pris pr. DDD</t>
  </si>
  <si>
    <t>27-35</t>
  </si>
  <si>
    <t>Pris = ESP</t>
  </si>
  <si>
    <t>Billigste pakning</t>
  </si>
  <si>
    <t>36</t>
  </si>
  <si>
    <t>Markering af billigste pakning pr. enhed for DrugID</t>
  </si>
  <si>
    <t>LMS32</t>
  </si>
  <si>
    <t>Pakningskombinationer</t>
  </si>
  <si>
    <t>Varenummer, ordineret</t>
  </si>
  <si>
    <t>Vnr. på pakningen anført på recepten</t>
  </si>
  <si>
    <t>Varenummer, substitueret</t>
  </si>
  <si>
    <t>7-12</t>
  </si>
  <si>
    <t>Vnr. på en pakning der evt. kan substitueres til</t>
  </si>
  <si>
    <t>Varenummer, alternativt</t>
  </si>
  <si>
    <t>13-18</t>
  </si>
  <si>
    <t>Vnr. for en mindre, billigere pakning</t>
  </si>
  <si>
    <t>Antal pakninger</t>
  </si>
  <si>
    <t>19-20</t>
  </si>
  <si>
    <t>Antal af den alternative pakning</t>
  </si>
  <si>
    <t>Ekspeditionens samlede pris</t>
  </si>
  <si>
    <t>21-29</t>
  </si>
  <si>
    <t>ESP for den alternative pakningskombination</t>
  </si>
  <si>
    <t>Informationspligt-markering</t>
  </si>
  <si>
    <t>30</t>
  </si>
  <si>
    <t>Markering (stjerne *) for informationspligt</t>
  </si>
  <si>
    <t>LMS33</t>
  </si>
  <si>
    <t>Pakningskombinationer uden priser</t>
  </si>
  <si>
    <t>OBS! Denne fil er ikke tilgængelig for alle</t>
  </si>
  <si>
    <t>LMS34</t>
  </si>
  <si>
    <t>Patenteret indikationsgrupper</t>
  </si>
  <si>
    <t>Lægemiddel med patenteret indikation</t>
  </si>
  <si>
    <t>Cannabisprodukt med patenteret indikation</t>
  </si>
  <si>
    <t>Markering (bogstavet P) for patenteret indikation</t>
  </si>
  <si>
    <t>Patenteret indikationsgruppenummer</t>
  </si>
  <si>
    <t>19-21</t>
  </si>
  <si>
    <t>Patenteret indikationsgruppe for pakningen</t>
  </si>
  <si>
    <t>LMS35</t>
  </si>
  <si>
    <t>Patenteret indikation</t>
  </si>
  <si>
    <t>1-3</t>
  </si>
  <si>
    <t>Ref. t. LMS34, felt 04</t>
  </si>
  <si>
    <t>Patenteret indikationsadvarselstekst</t>
  </si>
  <si>
    <t>4-2003</t>
  </si>
  <si>
    <t>Patenteret indikationsadvarselstekst til brug ved ekspedition på apotek</t>
  </si>
  <si>
    <t>SYSTEM</t>
  </si>
  <si>
    <t>Systemfil</t>
  </si>
  <si>
    <t>00</t>
  </si>
  <si>
    <t>Recordtype</t>
  </si>
  <si>
    <t>Feltet er udfyldt med 00 (styrerecord)</t>
  </si>
  <si>
    <t>Versionsnummer</t>
  </si>
  <si>
    <t>3-7</t>
  </si>
  <si>
    <t>Feltet er pt. udfyldt med "12.0"</t>
  </si>
  <si>
    <t>Produktnavn</t>
  </si>
  <si>
    <t>8-47</t>
  </si>
  <si>
    <t>Feltet er udfyldt med "LMS-TAKST"</t>
  </si>
  <si>
    <t>Ikrafttrædelsesdato for prisperiode</t>
  </si>
  <si>
    <t>48-55</t>
  </si>
  <si>
    <t>56-63</t>
  </si>
  <si>
    <t>Tidligere: Forrige prisperiodes ikrafttrædelsesdato</t>
  </si>
  <si>
    <t>64-71</t>
  </si>
  <si>
    <t>Tidligere: Næste prisperiodes ikrafttrædelsesdato</t>
  </si>
  <si>
    <t>Antal disketter</t>
  </si>
  <si>
    <t>72-73</t>
  </si>
  <si>
    <t>Feltet er udfyldt med "01"</t>
  </si>
  <si>
    <t>Totalt antal filer inkl. Systemfil</t>
  </si>
  <si>
    <t>74-75</t>
  </si>
  <si>
    <t>Antal LMS-filer</t>
  </si>
  <si>
    <t>DOS-navn for pakket fil</t>
  </si>
  <si>
    <t>76-87</t>
  </si>
  <si>
    <t>Feltet er udfyldt med "LMS.ZIP"</t>
  </si>
  <si>
    <t>Gældende prisperiode-uge</t>
  </si>
  <si>
    <t>88-93</t>
  </si>
  <si>
    <t>Format: ååååuu, sv. t. felt 03</t>
  </si>
  <si>
    <t>Værdi = 01 (parameter-record 1)</t>
  </si>
  <si>
    <t>Moms-procent</t>
  </si>
  <si>
    <t>Med 2 decimaler</t>
  </si>
  <si>
    <t>Udskrivningsprocent</t>
  </si>
  <si>
    <t>8-12</t>
  </si>
  <si>
    <t>Recepturgebyr</t>
  </si>
  <si>
    <t>13-17</t>
  </si>
  <si>
    <t>Ørebeløb incl. moms</t>
  </si>
  <si>
    <t>Færdigbehandlingsgebyr</t>
  </si>
  <si>
    <t>18-22</t>
  </si>
  <si>
    <t>Telefonreceptgebyr</t>
  </si>
  <si>
    <t>23-27</t>
  </si>
  <si>
    <t>28-32</t>
  </si>
  <si>
    <t>Udfyldt med "00000"</t>
  </si>
  <si>
    <t>Vagt-gebyr</t>
  </si>
  <si>
    <t>33-37</t>
  </si>
  <si>
    <t>Dosispakningsgebyr</t>
  </si>
  <si>
    <t>38-42</t>
  </si>
  <si>
    <t>43-47</t>
  </si>
  <si>
    <t xml:space="preserve"> </t>
  </si>
  <si>
    <t>Feltet er udfyldt med 10 (kartoteksrecord)</t>
  </si>
  <si>
    <t>Fil-beskrivelse</t>
  </si>
  <si>
    <t>3-32</t>
  </si>
  <si>
    <t>Fx. Grunddata lægemiddel</t>
  </si>
  <si>
    <t>Fil-betegnelse før pakning</t>
  </si>
  <si>
    <t>33-44</t>
  </si>
  <si>
    <t>Fx. LMS01.txt</t>
  </si>
  <si>
    <t>Antal filer</t>
  </si>
  <si>
    <t>45-46</t>
  </si>
  <si>
    <t>Feltet er udfyldt med 01</t>
  </si>
  <si>
    <t>Antal records i filen</t>
  </si>
  <si>
    <t>47-51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</si>
</sst>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9"/>
      <name val="Arial"/>
      <family val="2"/>
    </font>
    <font>
      <sz val="9"/>
      <color indexed="6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color indexed="62"/>
      <name val="Arial"/>
      <family val="2"/>
    </font>
    <font>
      <i/>
      <sz val="9"/>
      <name val="Arial"/>
      <family val="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9"/>
        <bgColor indexed="22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50">
    <xf numFmtId="0" fontId="0" fillId="0" borderId="0" xfId="0"/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wrapText="1"/>
    </xf>
    <xf numFmtId="0" fontId="1" fillId="0" borderId="0" xfId="0" applyFont="1"/>
    <xf numFmtId="0" fontId="4" fillId="2" borderId="0" xfId="0" applyNumberFormat="1" applyFont="1" applyFill="1" applyAlignment="1">
      <alignment wrapText="1"/>
    </xf>
    <xf numFmtId="49" fontId="1" fillId="0" borderId="0" xfId="0" applyNumberFormat="1" applyFont="1" applyFill="1" applyAlignment="1">
      <alignment horizontal="right" wrapText="1"/>
    </xf>
    <xf numFmtId="0" fontId="1" fillId="0" borderId="0" xfId="0" applyNumberFormat="1" applyFont="1" applyAlignment="1">
      <alignment wrapText="1"/>
    </xf>
    <xf numFmtId="0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5" fillId="0" borderId="0" xfId="0" applyNumberFormat="1" applyFont="1" applyAlignment="1">
      <alignment wrapText="1"/>
    </xf>
    <xf numFmtId="0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left" wrapText="1"/>
    </xf>
    <xf numFmtId="49" fontId="6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9" fontId="5" fillId="3" borderId="0" xfId="0" applyNumberFormat="1" applyFont="1" applyFill="1" applyAlignment="1">
      <alignment horizontal="center"/>
    </xf>
    <xf numFmtId="49" fontId="6" fillId="3" borderId="0" xfId="0" applyNumberFormat="1" applyFont="1" applyFill="1" applyAlignment="1">
      <alignment horizontal="left"/>
    </xf>
    <xf numFmtId="0" fontId="5" fillId="3" borderId="0" xfId="0" applyNumberFormat="1" applyFont="1" applyFill="1" applyAlignment="1">
      <alignment horizontal="left" wrapText="1"/>
    </xf>
    <xf numFmtId="0" fontId="1" fillId="0" borderId="0" xfId="0" applyNumberFormat="1" applyFont="1" applyFill="1" applyAlignment="1">
      <alignment wrapText="1"/>
    </xf>
    <xf numFmtId="49" fontId="1" fillId="0" borderId="0" xfId="0" applyNumberFormat="1" applyFont="1" applyAlignment="1">
      <alignment horizontal="left" wrapText="1"/>
    </xf>
    <xf numFmtId="49" fontId="1" fillId="0" borderId="0" xfId="0" applyNumberFormat="1" applyFont="1" applyFill="1" applyAlignment="1">
      <alignment horizontal="left" wrapText="1"/>
    </xf>
    <xf numFmtId="0" fontId="1" fillId="0" borderId="0" xfId="0" applyNumberFormat="1" applyFont="1" applyAlignment="1">
      <alignment horizontal="left" wrapText="1"/>
    </xf>
    <xf numFmtId="49" fontId="1" fillId="0" borderId="0" xfId="0" applyNumberFormat="1" applyFont="1" applyFill="1" applyAlignment="1">
      <alignment wrapText="1"/>
    </xf>
    <xf numFmtId="0" fontId="7" fillId="0" borderId="0" xfId="0" applyNumberFormat="1" applyFont="1" applyAlignment="1">
      <alignment wrapText="1"/>
    </xf>
    <xf numFmtId="0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1" fillId="0" borderId="0" xfId="0" applyNumberFormat="1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0" fontId="1" fillId="0" borderId="0" xfId="0" applyFont="1" applyFill="1"/>
    <xf numFmtId="49" fontId="7" fillId="0" borderId="0" xfId="0" applyNumberFormat="1" applyFont="1" applyAlignment="1">
      <alignment wrapText="1"/>
    </xf>
    <xf numFmtId="0" fontId="1" fillId="0" borderId="0" xfId="0" applyFont="1" applyFill="1" applyAlignment="1">
      <alignment wrapText="1"/>
    </xf>
    <xf numFmtId="0" fontId="5" fillId="3" borderId="0" xfId="0" applyNumberFormat="1" applyFont="1" applyFill="1" applyAlignment="1">
      <alignment wrapText="1"/>
    </xf>
    <xf numFmtId="49" fontId="7" fillId="0" borderId="0" xfId="0" applyNumberFormat="1" applyFont="1" applyAlignment="1">
      <alignment horizontal="left" wrapText="1"/>
    </xf>
    <xf numFmtId="0" fontId="6" fillId="3" borderId="0" xfId="0" applyNumberFormat="1" applyFont="1" applyFill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0" fontId="7" fillId="0" borderId="0" xfId="0" applyFont="1" applyAlignment="1">
      <alignment horizontal="center"/>
    </xf>
    <xf numFmtId="0" fontId="5" fillId="3" borderId="0" xfId="0" applyFont="1" applyFill="1" applyAlignment="1">
      <alignment horizontal="left" wrapText="1"/>
    </xf>
    <xf numFmtId="0" fontId="7" fillId="0" borderId="0" xfId="0" applyFont="1" applyAlignment="1">
      <alignment wrapText="1"/>
    </xf>
    <xf numFmtId="0" fontId="8" fillId="0" borderId="1" xfId="0" applyFont="1" applyBorder="1" applyAlignment="1">
      <alignment wrapText="1"/>
    </xf>
    <xf numFmtId="0" fontId="2" fillId="0" borderId="0" xfId="0" applyNumberFormat="1" applyFont="1" applyAlignment="1">
      <alignment horizontal="left"/>
    </xf>
    <xf numFmtId="0" fontId="1" fillId="0" borderId="0" xfId="0" applyNumberFormat="1" applyFont="1" applyFill="1" applyAlignment="1">
      <alignment horizontal="left" wrapText="1"/>
    </xf>
    <xf numFmtId="49" fontId="2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3" fillId="2" borderId="0" xfId="0" applyNumberFormat="1" applyFont="1" applyFill="1" applyBorder="1" applyAlignment="1">
      <alignment wrapText="1"/>
    </xf>
    <xf numFmtId="0" fontId="5" fillId="3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ECECE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55269"/>
      <rgbColor rgb="003D3D3D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FD0E-53FB-BE4D-AB49-F503656D4540}">
  <dimension ref="A1:I562"/>
  <sheetViews>
    <sheetView tabSelected="1" topLeftCell="A29" zoomScale="160" workbookViewId="0">
      <selection activeCell="F44" sqref="F44"/>
    </sheetView>
  </sheetViews>
  <sheetFormatPr baseColWidth="10" defaultColWidth="9.1640625" defaultRowHeight="12" x14ac:dyDescent="0.15"/>
  <cols>
    <col min="1" max="1" width="7.6640625" style="1" customWidth="1"/>
    <col min="2" max="2" width="54.33203125" style="2" customWidth="1"/>
    <col min="3" max="4" width="27" style="3" customWidth="1"/>
    <col min="5" max="5" width="5.5" style="4" customWidth="1"/>
    <col min="6" max="6" width="7.5" style="1" customWidth="1"/>
    <col min="7" max="7" width="28.1640625" style="5" customWidth="1"/>
    <col min="8" max="8" width="9.1640625" style="6"/>
    <col min="9" max="9" width="30" style="6" customWidth="1"/>
    <col min="10" max="16384" width="9.1640625" style="6"/>
  </cols>
  <sheetData>
    <row r="1" spans="1:7" ht="15.75" customHeight="1" x14ac:dyDescent="0.2">
      <c r="C1" s="48" t="s">
        <v>0</v>
      </c>
      <c r="D1" s="48"/>
    </row>
    <row r="2" spans="1:7" ht="28" x14ac:dyDescent="0.15">
      <c r="C2" s="7" t="s">
        <v>1</v>
      </c>
      <c r="D2" s="7" t="s">
        <v>2</v>
      </c>
      <c r="E2"/>
      <c r="F2"/>
      <c r="G2" s="8" t="s">
        <v>3</v>
      </c>
    </row>
    <row r="3" spans="1:7" x14ac:dyDescent="0.15">
      <c r="C3" s="9"/>
      <c r="D3" s="9"/>
      <c r="E3" s="10"/>
      <c r="G3" s="11"/>
    </row>
    <row r="4" spans="1:7" ht="26" x14ac:dyDescent="0.15">
      <c r="A4" s="12" t="s">
        <v>4</v>
      </c>
      <c r="B4" s="13" t="s">
        <v>5</v>
      </c>
      <c r="C4" s="14" t="s">
        <v>6</v>
      </c>
      <c r="D4" s="14" t="s">
        <v>6</v>
      </c>
      <c r="E4" s="15" t="s">
        <v>7</v>
      </c>
      <c r="F4" s="16" t="s">
        <v>8</v>
      </c>
      <c r="G4" s="17" t="s">
        <v>9</v>
      </c>
    </row>
    <row r="5" spans="1:7" x14ac:dyDescent="0.15">
      <c r="A5" s="16" t="s">
        <v>10</v>
      </c>
      <c r="B5" s="18"/>
      <c r="C5" s="9"/>
      <c r="D5" s="9"/>
      <c r="E5" s="15" t="s">
        <v>11</v>
      </c>
      <c r="G5" s="17"/>
    </row>
    <row r="6" spans="1:7" x14ac:dyDescent="0.15">
      <c r="A6" s="6"/>
      <c r="B6" s="19"/>
    </row>
    <row r="7" spans="1:7" ht="13" x14ac:dyDescent="0.15">
      <c r="A7" s="20" t="s">
        <v>12</v>
      </c>
      <c r="B7" s="21"/>
      <c r="C7" s="22" t="s">
        <v>13</v>
      </c>
      <c r="D7" s="22" t="s">
        <v>14</v>
      </c>
      <c r="E7" s="10"/>
    </row>
    <row r="8" spans="1:7" ht="13" x14ac:dyDescent="0.15">
      <c r="A8" s="1" t="s">
        <v>15</v>
      </c>
      <c r="B8" s="2" t="s">
        <v>16</v>
      </c>
      <c r="C8" s="9" t="s">
        <v>17</v>
      </c>
      <c r="D8" s="23" t="s">
        <v>17</v>
      </c>
      <c r="E8" s="10">
        <v>11</v>
      </c>
      <c r="F8" s="1" t="s">
        <v>18</v>
      </c>
    </row>
    <row r="9" spans="1:7" ht="13" x14ac:dyDescent="0.15">
      <c r="A9" s="1" t="s">
        <v>19</v>
      </c>
      <c r="B9" s="2" t="s">
        <v>20</v>
      </c>
      <c r="C9" s="9" t="s">
        <v>21</v>
      </c>
      <c r="D9" s="9" t="s">
        <v>21</v>
      </c>
      <c r="E9" s="10">
        <v>2</v>
      </c>
      <c r="F9" s="1" t="s">
        <v>22</v>
      </c>
      <c r="G9" s="24" t="s">
        <v>23</v>
      </c>
    </row>
    <row r="10" spans="1:7" ht="26" x14ac:dyDescent="0.15">
      <c r="A10" s="1" t="s">
        <v>24</v>
      </c>
      <c r="B10" s="2" t="s">
        <v>20</v>
      </c>
      <c r="C10" s="9" t="s">
        <v>25</v>
      </c>
      <c r="D10" s="9" t="s">
        <v>25</v>
      </c>
      <c r="E10" s="10">
        <v>2</v>
      </c>
      <c r="F10" s="1" t="s">
        <v>26</v>
      </c>
      <c r="G10" s="25" t="s">
        <v>27</v>
      </c>
    </row>
    <row r="11" spans="1:7" ht="13" x14ac:dyDescent="0.15">
      <c r="A11" s="1" t="s">
        <v>28</v>
      </c>
      <c r="B11" s="2" t="s">
        <v>20</v>
      </c>
      <c r="C11" s="9" t="s">
        <v>29</v>
      </c>
      <c r="D11" s="9" t="s">
        <v>29</v>
      </c>
      <c r="E11" s="10">
        <v>9</v>
      </c>
      <c r="F11" s="1" t="s">
        <v>30</v>
      </c>
      <c r="G11" s="24"/>
    </row>
    <row r="12" spans="1:7" ht="26" x14ac:dyDescent="0.15">
      <c r="A12" s="1" t="s">
        <v>31</v>
      </c>
      <c r="B12" s="2" t="s">
        <v>20</v>
      </c>
      <c r="C12" s="9" t="s">
        <v>32</v>
      </c>
      <c r="D12" s="9" t="s">
        <v>32</v>
      </c>
      <c r="E12" s="10">
        <v>5</v>
      </c>
      <c r="F12" s="1" t="s">
        <v>33</v>
      </c>
      <c r="G12" s="25" t="s">
        <v>34</v>
      </c>
    </row>
    <row r="13" spans="1:7" ht="13" x14ac:dyDescent="0.15">
      <c r="A13" s="1" t="s">
        <v>35</v>
      </c>
      <c r="B13" s="2" t="s">
        <v>36</v>
      </c>
      <c r="C13" s="9" t="s">
        <v>37</v>
      </c>
      <c r="D13" s="9" t="s">
        <v>37</v>
      </c>
      <c r="E13" s="10">
        <v>30</v>
      </c>
      <c r="F13" s="1" t="s">
        <v>38</v>
      </c>
      <c r="G13" s="24" t="s">
        <v>39</v>
      </c>
    </row>
    <row r="14" spans="1:7" ht="13" x14ac:dyDescent="0.15">
      <c r="A14" s="1" t="s">
        <v>40</v>
      </c>
      <c r="B14" s="2" t="s">
        <v>41</v>
      </c>
      <c r="C14" s="9" t="s">
        <v>42</v>
      </c>
      <c r="D14" s="23" t="s">
        <v>43</v>
      </c>
      <c r="E14" s="10">
        <v>20</v>
      </c>
      <c r="F14" s="1" t="s">
        <v>44</v>
      </c>
      <c r="G14" s="24" t="s">
        <v>39</v>
      </c>
    </row>
    <row r="15" spans="1:7" ht="13" x14ac:dyDescent="0.15">
      <c r="A15" s="1" t="s">
        <v>45</v>
      </c>
      <c r="B15" s="19" t="s">
        <v>46</v>
      </c>
      <c r="C15" s="9" t="s">
        <v>47</v>
      </c>
      <c r="D15" s="9" t="s">
        <v>47</v>
      </c>
      <c r="E15" s="10">
        <v>7</v>
      </c>
      <c r="F15" s="1" t="s">
        <v>48</v>
      </c>
      <c r="G15" s="24" t="s">
        <v>49</v>
      </c>
    </row>
    <row r="16" spans="1:7" ht="13" x14ac:dyDescent="0.15">
      <c r="A16" s="1" t="s">
        <v>50</v>
      </c>
      <c r="B16" s="2" t="s">
        <v>20</v>
      </c>
      <c r="C16" s="9" t="s">
        <v>51</v>
      </c>
      <c r="D16" s="9" t="s">
        <v>51</v>
      </c>
      <c r="E16" s="10">
        <v>7</v>
      </c>
      <c r="F16" s="1" t="s">
        <v>52</v>
      </c>
      <c r="G16" s="5" t="s">
        <v>53</v>
      </c>
    </row>
    <row r="17" spans="1:7" ht="13" x14ac:dyDescent="0.15">
      <c r="A17" s="1" t="s">
        <v>54</v>
      </c>
      <c r="B17" s="19" t="s">
        <v>46</v>
      </c>
      <c r="C17" s="9" t="s">
        <v>55</v>
      </c>
      <c r="D17" s="9" t="s">
        <v>55</v>
      </c>
      <c r="E17" s="10">
        <v>20</v>
      </c>
      <c r="F17" s="1" t="s">
        <v>56</v>
      </c>
      <c r="G17" s="24"/>
    </row>
    <row r="18" spans="1:7" ht="13" x14ac:dyDescent="0.15">
      <c r="A18" s="1" t="s">
        <v>57</v>
      </c>
      <c r="B18" s="2" t="s">
        <v>58</v>
      </c>
      <c r="C18" s="9" t="s">
        <v>59</v>
      </c>
      <c r="D18" s="9" t="s">
        <v>59</v>
      </c>
      <c r="E18" s="10">
        <v>10</v>
      </c>
      <c r="F18" s="1" t="s">
        <v>60</v>
      </c>
    </row>
    <row r="19" spans="1:7" ht="13" x14ac:dyDescent="0.15">
      <c r="A19" s="1" t="s">
        <v>61</v>
      </c>
      <c r="B19" s="2" t="s">
        <v>58</v>
      </c>
      <c r="C19" s="9" t="s">
        <v>62</v>
      </c>
      <c r="D19" s="9" t="s">
        <v>62</v>
      </c>
      <c r="E19" s="10">
        <v>3</v>
      </c>
      <c r="F19" s="1" t="s">
        <v>63</v>
      </c>
      <c r="G19" s="24" t="s">
        <v>64</v>
      </c>
    </row>
    <row r="20" spans="1:7" ht="13" x14ac:dyDescent="0.15">
      <c r="A20" s="1" t="s">
        <v>65</v>
      </c>
      <c r="B20" s="2" t="s">
        <v>20</v>
      </c>
      <c r="C20" s="9" t="s">
        <v>66</v>
      </c>
      <c r="D20" s="23" t="s">
        <v>67</v>
      </c>
      <c r="E20" s="10">
        <v>6</v>
      </c>
      <c r="F20" s="1" t="s">
        <v>68</v>
      </c>
      <c r="G20" s="24" t="s">
        <v>69</v>
      </c>
    </row>
    <row r="21" spans="1:7" ht="13" x14ac:dyDescent="0.15">
      <c r="A21" s="1" t="s">
        <v>70</v>
      </c>
      <c r="B21" s="2" t="s">
        <v>20</v>
      </c>
      <c r="C21" s="9" t="s">
        <v>71</v>
      </c>
      <c r="D21" s="9" t="s">
        <v>67</v>
      </c>
      <c r="E21" s="10">
        <v>6</v>
      </c>
      <c r="F21" s="1" t="s">
        <v>72</v>
      </c>
      <c r="G21" s="24" t="s">
        <v>69</v>
      </c>
    </row>
    <row r="22" spans="1:7" ht="13" x14ac:dyDescent="0.15">
      <c r="A22" s="1">
        <v>15</v>
      </c>
      <c r="B22" s="19" t="s">
        <v>46</v>
      </c>
      <c r="C22" s="9" t="s">
        <v>73</v>
      </c>
      <c r="D22" s="9" t="s">
        <v>73</v>
      </c>
      <c r="E22" s="10">
        <v>8</v>
      </c>
      <c r="F22" s="1" t="s">
        <v>74</v>
      </c>
      <c r="G22" s="24" t="s">
        <v>75</v>
      </c>
    </row>
    <row r="23" spans="1:7" ht="13" x14ac:dyDescent="0.15">
      <c r="A23" s="1">
        <v>16</v>
      </c>
      <c r="B23" s="2" t="s">
        <v>76</v>
      </c>
      <c r="C23" s="26" t="s">
        <v>77</v>
      </c>
      <c r="D23" s="26" t="s">
        <v>77</v>
      </c>
      <c r="E23" s="10">
        <v>8</v>
      </c>
      <c r="F23" s="1" t="s">
        <v>78</v>
      </c>
      <c r="G23" s="24" t="s">
        <v>79</v>
      </c>
    </row>
    <row r="24" spans="1:7" ht="13" x14ac:dyDescent="0.15">
      <c r="A24" s="1">
        <v>17</v>
      </c>
      <c r="B24" s="2" t="s">
        <v>20</v>
      </c>
      <c r="C24" s="9" t="s">
        <v>80</v>
      </c>
      <c r="D24" s="9" t="s">
        <v>80</v>
      </c>
      <c r="E24" s="10">
        <v>1</v>
      </c>
      <c r="F24" s="1" t="s">
        <v>81</v>
      </c>
      <c r="G24" s="24" t="s">
        <v>82</v>
      </c>
    </row>
    <row r="25" spans="1:7" ht="13" x14ac:dyDescent="0.15">
      <c r="A25" s="1">
        <v>18</v>
      </c>
      <c r="B25" s="2" t="s">
        <v>20</v>
      </c>
      <c r="C25" s="9" t="s">
        <v>83</v>
      </c>
      <c r="D25" s="9" t="s">
        <v>83</v>
      </c>
      <c r="E25" s="10">
        <v>1</v>
      </c>
      <c r="F25" s="1" t="s">
        <v>84</v>
      </c>
      <c r="G25" s="24" t="s">
        <v>85</v>
      </c>
    </row>
    <row r="26" spans="1:7" ht="26" x14ac:dyDescent="0.15">
      <c r="A26" s="1">
        <v>19</v>
      </c>
      <c r="B26" s="2" t="s">
        <v>20</v>
      </c>
      <c r="C26" s="9" t="s">
        <v>86</v>
      </c>
      <c r="D26" s="9" t="s">
        <v>86</v>
      </c>
      <c r="E26" s="10">
        <v>1</v>
      </c>
      <c r="F26" s="1" t="s">
        <v>87</v>
      </c>
      <c r="G26" s="27" t="s">
        <v>88</v>
      </c>
    </row>
    <row r="27" spans="1:7" ht="13" x14ac:dyDescent="0.15">
      <c r="A27" s="1" t="s">
        <v>89</v>
      </c>
      <c r="B27" s="2" t="s">
        <v>20</v>
      </c>
      <c r="C27" s="9" t="s">
        <v>90</v>
      </c>
      <c r="D27" s="9" t="s">
        <v>90</v>
      </c>
      <c r="E27" s="10">
        <v>1</v>
      </c>
      <c r="F27" s="1" t="s">
        <v>91</v>
      </c>
    </row>
    <row r="28" spans="1:7" ht="13" x14ac:dyDescent="0.15">
      <c r="A28" s="1" t="s">
        <v>92</v>
      </c>
      <c r="B28" s="2" t="s">
        <v>20</v>
      </c>
      <c r="C28" s="9" t="s">
        <v>90</v>
      </c>
      <c r="D28" s="9" t="s">
        <v>90</v>
      </c>
      <c r="E28" s="10">
        <v>1</v>
      </c>
      <c r="F28" s="1" t="s">
        <v>93</v>
      </c>
      <c r="G28" s="24"/>
    </row>
    <row r="29" spans="1:7" ht="26" x14ac:dyDescent="0.15">
      <c r="A29" s="1" t="s">
        <v>94</v>
      </c>
      <c r="B29" s="2" t="s">
        <v>20</v>
      </c>
      <c r="C29" s="9" t="s">
        <v>95</v>
      </c>
      <c r="D29" s="23" t="s">
        <v>96</v>
      </c>
      <c r="E29" s="10">
        <v>4</v>
      </c>
      <c r="F29" s="1" t="s">
        <v>97</v>
      </c>
      <c r="G29" s="24" t="s">
        <v>98</v>
      </c>
    </row>
    <row r="30" spans="1:7" ht="13" x14ac:dyDescent="0.15">
      <c r="A30" s="1" t="s">
        <v>99</v>
      </c>
      <c r="B30" s="2" t="s">
        <v>20</v>
      </c>
      <c r="C30" s="9" t="s">
        <v>100</v>
      </c>
      <c r="D30" s="9" t="s">
        <v>100</v>
      </c>
      <c r="E30" s="10">
        <v>1</v>
      </c>
      <c r="F30" s="1" t="s">
        <v>101</v>
      </c>
      <c r="G30" s="24" t="s">
        <v>102</v>
      </c>
    </row>
    <row r="31" spans="1:7" ht="26" x14ac:dyDescent="0.15">
      <c r="A31" s="1" t="s">
        <v>103</v>
      </c>
      <c r="B31" s="2" t="s">
        <v>20</v>
      </c>
      <c r="C31" s="9" t="s">
        <v>104</v>
      </c>
      <c r="D31" s="23" t="s">
        <v>105</v>
      </c>
      <c r="E31" s="10">
        <v>8</v>
      </c>
      <c r="F31" s="1" t="s">
        <v>106</v>
      </c>
      <c r="G31" s="24" t="s">
        <v>107</v>
      </c>
    </row>
    <row r="32" spans="1:7" ht="13" x14ac:dyDescent="0.15">
      <c r="A32" s="1" t="s">
        <v>108</v>
      </c>
      <c r="B32" s="2" t="s">
        <v>20</v>
      </c>
      <c r="C32" s="9" t="s">
        <v>109</v>
      </c>
      <c r="D32" s="9" t="s">
        <v>109</v>
      </c>
      <c r="E32" s="4">
        <v>8</v>
      </c>
      <c r="F32" s="1" t="s">
        <v>110</v>
      </c>
      <c r="G32" s="5" t="s">
        <v>107</v>
      </c>
    </row>
    <row r="33" spans="1:7" ht="13" x14ac:dyDescent="0.15">
      <c r="C33" s="28" t="s">
        <v>111</v>
      </c>
      <c r="D33" s="28" t="s">
        <v>111</v>
      </c>
      <c r="E33" s="29">
        <f>SUM(E6:E32)</f>
        <v>180</v>
      </c>
      <c r="F33" s="30"/>
    </row>
    <row r="34" spans="1:7" x14ac:dyDescent="0.15">
      <c r="C34" s="9"/>
      <c r="D34" s="9"/>
      <c r="E34" s="10"/>
    </row>
    <row r="35" spans="1:7" ht="13" x14ac:dyDescent="0.15">
      <c r="A35" s="20" t="s">
        <v>112</v>
      </c>
      <c r="B35" s="21"/>
      <c r="C35" s="22" t="s">
        <v>113</v>
      </c>
      <c r="D35" s="22" t="s">
        <v>113</v>
      </c>
      <c r="E35" s="10"/>
    </row>
    <row r="36" spans="1:7" ht="13" x14ac:dyDescent="0.15">
      <c r="A36" s="1" t="s">
        <v>15</v>
      </c>
      <c r="B36" s="2" t="s">
        <v>114</v>
      </c>
      <c r="C36" s="9" t="s">
        <v>17</v>
      </c>
      <c r="D36" s="23" t="s">
        <v>17</v>
      </c>
      <c r="E36" s="10">
        <v>11</v>
      </c>
      <c r="F36" s="1" t="s">
        <v>18</v>
      </c>
      <c r="G36" s="24" t="s">
        <v>115</v>
      </c>
    </row>
    <row r="37" spans="1:7" ht="13" x14ac:dyDescent="0.15">
      <c r="A37" s="1" t="s">
        <v>19</v>
      </c>
      <c r="B37" s="2" t="s">
        <v>116</v>
      </c>
      <c r="C37" s="9" t="s">
        <v>117</v>
      </c>
      <c r="D37" s="9" t="s">
        <v>117</v>
      </c>
      <c r="E37" s="10">
        <v>6</v>
      </c>
      <c r="F37" s="1" t="s">
        <v>118</v>
      </c>
    </row>
    <row r="38" spans="1:7" ht="13" x14ac:dyDescent="0.15">
      <c r="A38" s="1" t="s">
        <v>24</v>
      </c>
      <c r="B38" s="2" t="s">
        <v>20</v>
      </c>
      <c r="C38" s="9" t="s">
        <v>119</v>
      </c>
      <c r="D38" s="9" t="s">
        <v>119</v>
      </c>
      <c r="E38" s="10">
        <v>3</v>
      </c>
      <c r="F38" s="1" t="s">
        <v>120</v>
      </c>
    </row>
    <row r="39" spans="1:7" ht="13" x14ac:dyDescent="0.15">
      <c r="A39" s="1" t="s">
        <v>28</v>
      </c>
      <c r="B39" s="2" t="s">
        <v>20</v>
      </c>
      <c r="C39" s="9" t="s">
        <v>121</v>
      </c>
      <c r="D39" s="9" t="s">
        <v>121</v>
      </c>
      <c r="E39" s="10">
        <v>6</v>
      </c>
      <c r="F39" s="1" t="s">
        <v>122</v>
      </c>
      <c r="G39" s="5" t="s">
        <v>123</v>
      </c>
    </row>
    <row r="40" spans="1:7" ht="13" x14ac:dyDescent="0.15">
      <c r="A40" s="1" t="s">
        <v>31</v>
      </c>
      <c r="B40" s="2" t="s">
        <v>20</v>
      </c>
      <c r="C40" s="9" t="s">
        <v>124</v>
      </c>
      <c r="D40" s="9" t="s">
        <v>124</v>
      </c>
      <c r="E40" s="10">
        <v>3</v>
      </c>
      <c r="F40" s="1" t="s">
        <v>125</v>
      </c>
      <c r="G40" s="24" t="s">
        <v>126</v>
      </c>
    </row>
    <row r="41" spans="1:7" ht="13" x14ac:dyDescent="0.15">
      <c r="A41" s="1" t="s">
        <v>35</v>
      </c>
      <c r="B41" s="2" t="s">
        <v>127</v>
      </c>
      <c r="C41" s="9" t="s">
        <v>128</v>
      </c>
      <c r="D41" s="9" t="s">
        <v>128</v>
      </c>
      <c r="E41" s="10">
        <v>30</v>
      </c>
      <c r="F41" s="1" t="s">
        <v>38</v>
      </c>
    </row>
    <row r="42" spans="1:7" ht="13" x14ac:dyDescent="0.15">
      <c r="A42" s="1" t="s">
        <v>40</v>
      </c>
      <c r="B42" s="2" t="s">
        <v>129</v>
      </c>
      <c r="C42" s="9" t="s">
        <v>130</v>
      </c>
      <c r="D42" s="9" t="s">
        <v>130</v>
      </c>
      <c r="E42" s="10">
        <v>8</v>
      </c>
      <c r="F42" s="1" t="s">
        <v>131</v>
      </c>
      <c r="G42" s="24" t="s">
        <v>132</v>
      </c>
    </row>
    <row r="43" spans="1:7" ht="13" x14ac:dyDescent="0.15">
      <c r="A43" s="1" t="s">
        <v>45</v>
      </c>
      <c r="B43" s="2" t="s">
        <v>129</v>
      </c>
      <c r="C43" s="9" t="s">
        <v>133</v>
      </c>
      <c r="D43" s="9" t="s">
        <v>133</v>
      </c>
      <c r="E43" s="10">
        <v>2</v>
      </c>
      <c r="F43" s="1" t="s">
        <v>134</v>
      </c>
      <c r="G43" s="24" t="s">
        <v>135</v>
      </c>
    </row>
    <row r="44" spans="1:7" ht="13" x14ac:dyDescent="0.15">
      <c r="A44" s="1" t="s">
        <v>50</v>
      </c>
      <c r="B44" s="2" t="s">
        <v>20</v>
      </c>
      <c r="C44" s="9" t="s">
        <v>136</v>
      </c>
      <c r="D44" s="9" t="s">
        <v>136</v>
      </c>
      <c r="E44" s="10">
        <v>4</v>
      </c>
      <c r="F44" s="1" t="s">
        <v>137</v>
      </c>
      <c r="G44" s="24" t="s">
        <v>138</v>
      </c>
    </row>
    <row r="45" spans="1:7" ht="13" x14ac:dyDescent="0.15">
      <c r="A45" s="1" t="s">
        <v>54</v>
      </c>
      <c r="B45" s="2" t="s">
        <v>20</v>
      </c>
      <c r="C45" s="9" t="s">
        <v>139</v>
      </c>
      <c r="D45" s="9" t="s">
        <v>139</v>
      </c>
      <c r="E45" s="10">
        <v>5</v>
      </c>
      <c r="F45" s="1" t="s">
        <v>140</v>
      </c>
      <c r="G45" s="24" t="s">
        <v>141</v>
      </c>
    </row>
    <row r="46" spans="1:7" ht="13" x14ac:dyDescent="0.15">
      <c r="A46" s="1" t="s">
        <v>57</v>
      </c>
      <c r="B46" s="2" t="s">
        <v>20</v>
      </c>
      <c r="C46" s="9" t="s">
        <v>142</v>
      </c>
      <c r="D46" s="9" t="s">
        <v>142</v>
      </c>
      <c r="E46" s="10">
        <v>5</v>
      </c>
      <c r="F46" s="1" t="s">
        <v>143</v>
      </c>
      <c r="G46" s="24" t="s">
        <v>144</v>
      </c>
    </row>
    <row r="47" spans="1:7" ht="13" x14ac:dyDescent="0.15">
      <c r="A47" s="1" t="s">
        <v>61</v>
      </c>
      <c r="B47" s="2" t="s">
        <v>20</v>
      </c>
      <c r="C47" s="23" t="s">
        <v>145</v>
      </c>
      <c r="D47" s="23" t="s">
        <v>145</v>
      </c>
      <c r="E47" s="31">
        <v>2</v>
      </c>
      <c r="F47" s="32" t="s">
        <v>146</v>
      </c>
      <c r="G47" s="25" t="s">
        <v>147</v>
      </c>
    </row>
    <row r="48" spans="1:7" ht="13" x14ac:dyDescent="0.15">
      <c r="A48" s="1" t="s">
        <v>65</v>
      </c>
      <c r="B48" s="2" t="s">
        <v>20</v>
      </c>
      <c r="C48" s="23" t="s">
        <v>148</v>
      </c>
      <c r="D48" s="23" t="s">
        <v>148</v>
      </c>
      <c r="E48" s="31">
        <v>5</v>
      </c>
      <c r="F48" s="32" t="s">
        <v>149</v>
      </c>
      <c r="G48" s="25" t="s">
        <v>150</v>
      </c>
    </row>
    <row r="49" spans="1:9" ht="13" x14ac:dyDescent="0.15">
      <c r="A49" s="1" t="s">
        <v>70</v>
      </c>
      <c r="B49" s="2" t="s">
        <v>20</v>
      </c>
      <c r="C49" s="9" t="s">
        <v>151</v>
      </c>
      <c r="D49" s="9" t="s">
        <v>151</v>
      </c>
      <c r="E49" s="10">
        <v>9</v>
      </c>
      <c r="F49" s="1" t="s">
        <v>152</v>
      </c>
    </row>
    <row r="50" spans="1:9" ht="13" x14ac:dyDescent="0.15">
      <c r="A50" s="1" t="s">
        <v>153</v>
      </c>
      <c r="B50" s="2" t="s">
        <v>20</v>
      </c>
      <c r="C50" s="9" t="s">
        <v>154</v>
      </c>
      <c r="D50" s="9" t="s">
        <v>154</v>
      </c>
      <c r="E50" s="10">
        <v>2</v>
      </c>
      <c r="F50" s="1" t="s">
        <v>155</v>
      </c>
      <c r="G50" s="24" t="s">
        <v>156</v>
      </c>
    </row>
    <row r="51" spans="1:9" ht="13" x14ac:dyDescent="0.15">
      <c r="A51" s="1" t="s">
        <v>157</v>
      </c>
      <c r="B51" s="2" t="s">
        <v>20</v>
      </c>
      <c r="C51" s="9" t="s">
        <v>158</v>
      </c>
      <c r="D51" s="9" t="s">
        <v>158</v>
      </c>
      <c r="E51" s="10">
        <v>1</v>
      </c>
      <c r="F51" s="1" t="s">
        <v>159</v>
      </c>
      <c r="G51" s="24" t="s">
        <v>160</v>
      </c>
    </row>
    <row r="52" spans="1:9" ht="13" x14ac:dyDescent="0.15">
      <c r="A52" s="1" t="s">
        <v>161</v>
      </c>
      <c r="B52" s="2" t="s">
        <v>20</v>
      </c>
      <c r="C52" s="9" t="s">
        <v>162</v>
      </c>
      <c r="D52" s="9" t="s">
        <v>162</v>
      </c>
      <c r="E52" s="10">
        <v>1</v>
      </c>
      <c r="F52" s="1" t="s">
        <v>163</v>
      </c>
      <c r="G52" s="24" t="s">
        <v>164</v>
      </c>
    </row>
    <row r="53" spans="1:9" ht="13" x14ac:dyDescent="0.15">
      <c r="A53" s="1" t="s">
        <v>165</v>
      </c>
      <c r="B53" s="2" t="s">
        <v>20</v>
      </c>
      <c r="C53" s="9" t="s">
        <v>166</v>
      </c>
      <c r="D53" s="9" t="s">
        <v>166</v>
      </c>
      <c r="E53" s="10">
        <v>8</v>
      </c>
      <c r="F53" s="1" t="s">
        <v>167</v>
      </c>
      <c r="G53" s="24" t="s">
        <v>107</v>
      </c>
    </row>
    <row r="54" spans="1:9" ht="13" x14ac:dyDescent="0.15">
      <c r="A54" s="1" t="s">
        <v>168</v>
      </c>
      <c r="B54" s="2" t="s">
        <v>20</v>
      </c>
      <c r="C54" s="9" t="s">
        <v>169</v>
      </c>
      <c r="D54" s="9" t="s">
        <v>169</v>
      </c>
      <c r="E54" s="10">
        <v>8</v>
      </c>
      <c r="F54" s="1" t="s">
        <v>170</v>
      </c>
      <c r="G54" s="5" t="s">
        <v>107</v>
      </c>
    </row>
    <row r="55" spans="1:9" ht="13" x14ac:dyDescent="0.15">
      <c r="A55" s="1" t="s">
        <v>89</v>
      </c>
      <c r="B55" s="2" t="s">
        <v>20</v>
      </c>
      <c r="C55" s="9" t="s">
        <v>171</v>
      </c>
      <c r="D55" s="9" t="s">
        <v>171</v>
      </c>
      <c r="E55" s="10">
        <v>8</v>
      </c>
      <c r="F55" s="1" t="s">
        <v>172</v>
      </c>
      <c r="G55" s="24" t="s">
        <v>107</v>
      </c>
    </row>
    <row r="56" spans="1:9" ht="13" x14ac:dyDescent="0.15">
      <c r="A56" s="1" t="s">
        <v>92</v>
      </c>
      <c r="B56" s="2" t="s">
        <v>20</v>
      </c>
      <c r="C56" s="9" t="s">
        <v>173</v>
      </c>
      <c r="D56" s="9" t="s">
        <v>173</v>
      </c>
      <c r="E56" s="10">
        <v>1</v>
      </c>
      <c r="F56" s="1" t="s">
        <v>174</v>
      </c>
      <c r="G56" s="24" t="s">
        <v>175</v>
      </c>
    </row>
    <row r="57" spans="1:9" ht="13" x14ac:dyDescent="0.15">
      <c r="A57" s="1" t="s">
        <v>94</v>
      </c>
      <c r="B57" s="2" t="s">
        <v>20</v>
      </c>
      <c r="C57" s="23" t="s">
        <v>176</v>
      </c>
      <c r="D57" s="23" t="s">
        <v>176</v>
      </c>
      <c r="E57" s="31">
        <v>1</v>
      </c>
      <c r="F57" s="32" t="s">
        <v>177</v>
      </c>
      <c r="G57" s="25" t="s">
        <v>178</v>
      </c>
    </row>
    <row r="58" spans="1:9" ht="13" x14ac:dyDescent="0.15">
      <c r="A58" s="1" t="s">
        <v>99</v>
      </c>
      <c r="B58" s="2" t="s">
        <v>20</v>
      </c>
      <c r="C58" s="23" t="s">
        <v>179</v>
      </c>
      <c r="D58" s="23" t="s">
        <v>179</v>
      </c>
      <c r="E58" s="31">
        <v>1</v>
      </c>
      <c r="F58" s="32" t="s">
        <v>180</v>
      </c>
      <c r="G58" s="25" t="s">
        <v>181</v>
      </c>
      <c r="H58" s="33"/>
    </row>
    <row r="59" spans="1:9" ht="26" x14ac:dyDescent="0.15">
      <c r="A59" s="1" t="s">
        <v>103</v>
      </c>
      <c r="B59" s="2" t="s">
        <v>20</v>
      </c>
      <c r="C59" s="23" t="s">
        <v>182</v>
      </c>
      <c r="D59" s="23" t="s">
        <v>182</v>
      </c>
      <c r="E59" s="31">
        <v>1</v>
      </c>
      <c r="F59" s="32" t="s">
        <v>183</v>
      </c>
      <c r="G59" s="25" t="s">
        <v>184</v>
      </c>
      <c r="H59" s="33"/>
      <c r="I59" s="25"/>
    </row>
    <row r="60" spans="1:9" ht="13" x14ac:dyDescent="0.15">
      <c r="A60" s="1" t="s">
        <v>108</v>
      </c>
      <c r="B60" s="2" t="s">
        <v>20</v>
      </c>
      <c r="C60" s="9" t="s">
        <v>185</v>
      </c>
      <c r="D60" s="9" t="s">
        <v>67</v>
      </c>
      <c r="E60" s="10">
        <v>6</v>
      </c>
      <c r="F60" s="1" t="s">
        <v>186</v>
      </c>
      <c r="G60" s="24" t="s">
        <v>69</v>
      </c>
    </row>
    <row r="61" spans="1:9" ht="13" x14ac:dyDescent="0.15">
      <c r="C61" s="28" t="s">
        <v>187</v>
      </c>
      <c r="D61" s="28" t="s">
        <v>187</v>
      </c>
      <c r="E61" s="29">
        <f>SUM(E36:E60)</f>
        <v>137</v>
      </c>
      <c r="F61" s="30"/>
    </row>
    <row r="62" spans="1:9" x14ac:dyDescent="0.15">
      <c r="C62" s="28"/>
      <c r="D62" s="28"/>
      <c r="E62" s="10"/>
    </row>
    <row r="63" spans="1:9" ht="26" x14ac:dyDescent="0.15">
      <c r="A63" s="20" t="s">
        <v>188</v>
      </c>
      <c r="B63" s="21"/>
      <c r="C63" s="22" t="s">
        <v>189</v>
      </c>
      <c r="D63" s="22" t="s">
        <v>189</v>
      </c>
      <c r="E63" s="10"/>
      <c r="G63" s="34" t="s">
        <v>190</v>
      </c>
    </row>
    <row r="64" spans="1:9" ht="13" x14ac:dyDescent="0.15">
      <c r="A64" s="1" t="s">
        <v>15</v>
      </c>
      <c r="B64" s="2" t="s">
        <v>20</v>
      </c>
      <c r="C64" s="9" t="s">
        <v>117</v>
      </c>
      <c r="D64" s="9" t="s">
        <v>117</v>
      </c>
      <c r="E64" s="10">
        <v>6</v>
      </c>
      <c r="F64" s="1" t="s">
        <v>191</v>
      </c>
      <c r="G64" s="24" t="s">
        <v>192</v>
      </c>
    </row>
    <row r="65" spans="1:7" ht="13" x14ac:dyDescent="0.15">
      <c r="A65" s="1" t="s">
        <v>19</v>
      </c>
      <c r="B65" s="2" t="s">
        <v>20</v>
      </c>
      <c r="C65" s="9" t="s">
        <v>193</v>
      </c>
      <c r="D65" s="9" t="s">
        <v>193</v>
      </c>
      <c r="E65" s="10">
        <v>9</v>
      </c>
      <c r="F65" s="1" t="s">
        <v>194</v>
      </c>
      <c r="G65" s="5" t="s">
        <v>195</v>
      </c>
    </row>
    <row r="66" spans="1:7" ht="26" x14ac:dyDescent="0.15">
      <c r="A66" s="1" t="s">
        <v>24</v>
      </c>
      <c r="B66" s="2" t="s">
        <v>20</v>
      </c>
      <c r="C66" s="9" t="s">
        <v>196</v>
      </c>
      <c r="D66" s="9" t="s">
        <v>196</v>
      </c>
      <c r="E66" s="10">
        <v>9</v>
      </c>
      <c r="F66" s="1" t="s">
        <v>30</v>
      </c>
      <c r="G66" s="5" t="s">
        <v>197</v>
      </c>
    </row>
    <row r="67" spans="1:7" ht="26" x14ac:dyDescent="0.15">
      <c r="A67" s="1" t="s">
        <v>28</v>
      </c>
      <c r="B67" s="2" t="s">
        <v>20</v>
      </c>
      <c r="C67" s="9" t="s">
        <v>198</v>
      </c>
      <c r="D67" s="9" t="s">
        <v>198</v>
      </c>
      <c r="E67" s="10">
        <v>9</v>
      </c>
      <c r="F67" s="1" t="s">
        <v>199</v>
      </c>
      <c r="G67" s="24" t="s">
        <v>200</v>
      </c>
    </row>
    <row r="68" spans="1:7" ht="13" x14ac:dyDescent="0.15">
      <c r="A68" s="1" t="s">
        <v>31</v>
      </c>
      <c r="B68" s="2" t="s">
        <v>20</v>
      </c>
      <c r="C68" s="9" t="s">
        <v>201</v>
      </c>
      <c r="D68" s="9" t="s">
        <v>201</v>
      </c>
      <c r="E68" s="10">
        <v>9</v>
      </c>
      <c r="F68" s="1" t="s">
        <v>202</v>
      </c>
      <c r="G68" s="24" t="s">
        <v>203</v>
      </c>
    </row>
    <row r="69" spans="1:7" ht="13" x14ac:dyDescent="0.15">
      <c r="A69" s="1" t="s">
        <v>35</v>
      </c>
      <c r="B69" s="2" t="s">
        <v>20</v>
      </c>
      <c r="C69" s="3" t="s">
        <v>201</v>
      </c>
      <c r="D69" s="3" t="s">
        <v>201</v>
      </c>
      <c r="E69" s="10">
        <v>9</v>
      </c>
      <c r="F69" s="1" t="s">
        <v>204</v>
      </c>
      <c r="G69" s="5" t="s">
        <v>203</v>
      </c>
    </row>
    <row r="70" spans="1:7" ht="26" x14ac:dyDescent="0.15">
      <c r="A70" s="1" t="s">
        <v>40</v>
      </c>
      <c r="B70" s="2" t="s">
        <v>20</v>
      </c>
      <c r="C70" s="23" t="s">
        <v>205</v>
      </c>
      <c r="D70" s="23" t="s">
        <v>205</v>
      </c>
      <c r="E70" s="31">
        <v>9</v>
      </c>
      <c r="F70" s="32" t="s">
        <v>206</v>
      </c>
      <c r="G70" s="27" t="s">
        <v>207</v>
      </c>
    </row>
    <row r="71" spans="1:7" ht="26" x14ac:dyDescent="0.15">
      <c r="A71" s="1" t="s">
        <v>45</v>
      </c>
      <c r="B71" s="2" t="s">
        <v>20</v>
      </c>
      <c r="C71" s="23" t="s">
        <v>208</v>
      </c>
      <c r="D71" s="23" t="s">
        <v>208</v>
      </c>
      <c r="E71" s="31">
        <v>9</v>
      </c>
      <c r="F71" s="32" t="s">
        <v>209</v>
      </c>
      <c r="G71" s="27" t="s">
        <v>210</v>
      </c>
    </row>
    <row r="72" spans="1:7" ht="13" x14ac:dyDescent="0.15">
      <c r="A72" s="1" t="s">
        <v>50</v>
      </c>
      <c r="B72" s="2" t="s">
        <v>20</v>
      </c>
      <c r="C72" s="35" t="s">
        <v>201</v>
      </c>
      <c r="D72" s="35" t="s">
        <v>201</v>
      </c>
      <c r="E72" s="31">
        <v>9</v>
      </c>
      <c r="F72" s="32" t="s">
        <v>211</v>
      </c>
      <c r="G72" s="25" t="s">
        <v>203</v>
      </c>
    </row>
    <row r="73" spans="1:7" ht="26" x14ac:dyDescent="0.15">
      <c r="A73" s="1" t="s">
        <v>54</v>
      </c>
      <c r="B73" s="2" t="s">
        <v>20</v>
      </c>
      <c r="C73" s="23" t="s">
        <v>212</v>
      </c>
      <c r="D73" s="23" t="s">
        <v>212</v>
      </c>
      <c r="E73" s="31">
        <v>9</v>
      </c>
      <c r="F73" s="32" t="s">
        <v>213</v>
      </c>
      <c r="G73" s="27" t="s">
        <v>214</v>
      </c>
    </row>
    <row r="74" spans="1:7" ht="13" x14ac:dyDescent="0.15">
      <c r="A74" s="1" t="s">
        <v>57</v>
      </c>
      <c r="B74" s="2" t="s">
        <v>20</v>
      </c>
      <c r="C74" s="9" t="s">
        <v>201</v>
      </c>
      <c r="D74" s="9" t="s">
        <v>201</v>
      </c>
      <c r="E74" s="10">
        <v>9</v>
      </c>
      <c r="F74" s="1" t="s">
        <v>215</v>
      </c>
      <c r="G74" s="5" t="s">
        <v>203</v>
      </c>
    </row>
    <row r="75" spans="1:7" ht="13" x14ac:dyDescent="0.15">
      <c r="C75" s="28" t="s">
        <v>187</v>
      </c>
      <c r="D75" s="28" t="s">
        <v>187</v>
      </c>
      <c r="E75" s="29">
        <f>SUM(E64:E74)</f>
        <v>96</v>
      </c>
      <c r="F75" s="30"/>
    </row>
    <row r="76" spans="1:7" x14ac:dyDescent="0.15">
      <c r="C76" s="28"/>
      <c r="D76" s="28"/>
      <c r="E76" s="10"/>
    </row>
    <row r="77" spans="1:7" ht="13" x14ac:dyDescent="0.15">
      <c r="A77" s="20" t="s">
        <v>216</v>
      </c>
      <c r="B77" s="21"/>
      <c r="C77" s="36" t="s">
        <v>83</v>
      </c>
      <c r="D77" s="36" t="s">
        <v>83</v>
      </c>
      <c r="E77" s="10"/>
      <c r="G77" s="37"/>
    </row>
    <row r="78" spans="1:7" ht="13" x14ac:dyDescent="0.15">
      <c r="A78" s="1" t="s">
        <v>15</v>
      </c>
      <c r="B78" s="2" t="s">
        <v>20</v>
      </c>
      <c r="C78" s="9" t="s">
        <v>217</v>
      </c>
      <c r="D78" s="9" t="s">
        <v>217</v>
      </c>
      <c r="E78" s="10">
        <v>4</v>
      </c>
      <c r="F78" s="1" t="s">
        <v>218</v>
      </c>
      <c r="G78" s="5" t="s">
        <v>219</v>
      </c>
    </row>
    <row r="79" spans="1:7" ht="26" x14ac:dyDescent="0.15">
      <c r="A79" s="1" t="s">
        <v>19</v>
      </c>
      <c r="B79" s="2" t="s">
        <v>20</v>
      </c>
      <c r="C79" s="9" t="s">
        <v>220</v>
      </c>
      <c r="D79" s="9" t="s">
        <v>220</v>
      </c>
      <c r="E79" s="10">
        <v>6</v>
      </c>
      <c r="F79" s="1" t="s">
        <v>221</v>
      </c>
      <c r="G79" s="5" t="s">
        <v>222</v>
      </c>
    </row>
    <row r="80" spans="1:7" ht="13" x14ac:dyDescent="0.15">
      <c r="A80" s="1" t="s">
        <v>24</v>
      </c>
      <c r="B80" s="2" t="s">
        <v>20</v>
      </c>
      <c r="C80" s="9" t="s">
        <v>223</v>
      </c>
      <c r="D80" s="9" t="s">
        <v>223</v>
      </c>
      <c r="E80" s="10">
        <v>8</v>
      </c>
      <c r="F80" s="1" t="s">
        <v>224</v>
      </c>
      <c r="G80" s="24" t="s">
        <v>225</v>
      </c>
    </row>
    <row r="81" spans="1:7" ht="13" x14ac:dyDescent="0.15">
      <c r="A81" s="1" t="s">
        <v>28</v>
      </c>
      <c r="B81" s="2" t="s">
        <v>20</v>
      </c>
      <c r="C81" s="9" t="s">
        <v>226</v>
      </c>
      <c r="D81" s="9" t="s">
        <v>226</v>
      </c>
      <c r="E81" s="10">
        <v>9</v>
      </c>
      <c r="F81" s="1" t="s">
        <v>227</v>
      </c>
      <c r="G81" s="24" t="s">
        <v>228</v>
      </c>
    </row>
    <row r="82" spans="1:7" ht="13" x14ac:dyDescent="0.15">
      <c r="A82" s="1" t="s">
        <v>31</v>
      </c>
      <c r="B82" s="2" t="s">
        <v>20</v>
      </c>
      <c r="C82" s="9" t="s">
        <v>90</v>
      </c>
      <c r="D82" s="9" t="s">
        <v>90</v>
      </c>
      <c r="E82" s="10">
        <v>7</v>
      </c>
      <c r="F82" s="1" t="s">
        <v>229</v>
      </c>
    </row>
    <row r="83" spans="1:7" ht="13" x14ac:dyDescent="0.15">
      <c r="A83" s="1" t="s">
        <v>35</v>
      </c>
      <c r="B83" s="2" t="s">
        <v>20</v>
      </c>
      <c r="C83" s="9" t="s">
        <v>230</v>
      </c>
      <c r="D83" s="9" t="s">
        <v>230</v>
      </c>
      <c r="E83" s="10">
        <v>1</v>
      </c>
      <c r="F83" s="1" t="s">
        <v>231</v>
      </c>
      <c r="G83" s="5" t="s">
        <v>232</v>
      </c>
    </row>
    <row r="84" spans="1:7" ht="13" x14ac:dyDescent="0.15">
      <c r="A84" s="1" t="s">
        <v>40</v>
      </c>
      <c r="B84" s="2" t="s">
        <v>20</v>
      </c>
      <c r="C84" s="9" t="s">
        <v>233</v>
      </c>
      <c r="D84" s="9" t="s">
        <v>233</v>
      </c>
      <c r="E84" s="10">
        <v>6</v>
      </c>
      <c r="F84" s="1" t="s">
        <v>234</v>
      </c>
      <c r="G84" s="5" t="s">
        <v>235</v>
      </c>
    </row>
    <row r="85" spans="1:7" ht="13" x14ac:dyDescent="0.15">
      <c r="A85" s="1" t="s">
        <v>45</v>
      </c>
      <c r="B85" s="2" t="s">
        <v>20</v>
      </c>
      <c r="C85" s="9" t="s">
        <v>90</v>
      </c>
      <c r="D85" s="9" t="s">
        <v>90</v>
      </c>
      <c r="E85" s="10">
        <v>6</v>
      </c>
      <c r="F85" s="1" t="s">
        <v>236</v>
      </c>
    </row>
    <row r="86" spans="1:7" ht="13" x14ac:dyDescent="0.15">
      <c r="C86" s="28" t="s">
        <v>187</v>
      </c>
      <c r="D86" s="28" t="s">
        <v>187</v>
      </c>
      <c r="E86" s="29">
        <f>SUM(E78:E85)</f>
        <v>47</v>
      </c>
    </row>
    <row r="87" spans="1:7" x14ac:dyDescent="0.15">
      <c r="C87" s="28"/>
      <c r="D87" s="28"/>
      <c r="E87" s="10"/>
    </row>
    <row r="88" spans="1:7" x14ac:dyDescent="0.15">
      <c r="A88" s="20" t="s">
        <v>237</v>
      </c>
      <c r="B88" s="21"/>
      <c r="C88" s="49" t="s">
        <v>238</v>
      </c>
      <c r="D88" s="49"/>
      <c r="E88" s="49"/>
      <c r="G88" s="37"/>
    </row>
    <row r="89" spans="1:7" ht="13" x14ac:dyDescent="0.15">
      <c r="A89" s="1" t="s">
        <v>15</v>
      </c>
      <c r="B89" s="2" t="s">
        <v>20</v>
      </c>
      <c r="C89" s="9" t="s">
        <v>217</v>
      </c>
      <c r="D89" s="9" t="s">
        <v>217</v>
      </c>
      <c r="E89" s="10">
        <v>4</v>
      </c>
      <c r="F89" s="1" t="s">
        <v>218</v>
      </c>
      <c r="G89" s="5" t="s">
        <v>219</v>
      </c>
    </row>
    <row r="90" spans="1:7" ht="13" x14ac:dyDescent="0.15">
      <c r="A90" s="1" t="s">
        <v>19</v>
      </c>
      <c r="B90" s="2" t="s">
        <v>20</v>
      </c>
      <c r="C90" s="9" t="s">
        <v>117</v>
      </c>
      <c r="D90" s="9" t="s">
        <v>117</v>
      </c>
      <c r="E90" s="10">
        <v>6</v>
      </c>
      <c r="F90" s="1" t="s">
        <v>221</v>
      </c>
    </row>
    <row r="91" spans="1:7" ht="13" x14ac:dyDescent="0.15">
      <c r="C91" s="28" t="s">
        <v>187</v>
      </c>
      <c r="D91" s="28" t="s">
        <v>187</v>
      </c>
      <c r="E91" s="29">
        <f>SUM(E89:E90)</f>
        <v>10</v>
      </c>
    </row>
    <row r="92" spans="1:7" x14ac:dyDescent="0.15">
      <c r="C92" s="28"/>
      <c r="D92" s="28"/>
      <c r="E92" s="10"/>
    </row>
    <row r="93" spans="1:7" ht="26" x14ac:dyDescent="0.15">
      <c r="A93" s="36" t="s">
        <v>239</v>
      </c>
      <c r="B93" s="38"/>
      <c r="C93" s="36" t="s">
        <v>240</v>
      </c>
      <c r="D93" s="36" t="s">
        <v>240</v>
      </c>
      <c r="E93" s="10"/>
      <c r="G93" s="37"/>
    </row>
    <row r="94" spans="1:7" ht="13" x14ac:dyDescent="0.15">
      <c r="A94" s="1" t="s">
        <v>15</v>
      </c>
      <c r="B94" s="2" t="s">
        <v>20</v>
      </c>
      <c r="C94" s="23" t="s">
        <v>241</v>
      </c>
      <c r="D94" s="23" t="s">
        <v>241</v>
      </c>
      <c r="E94" s="31">
        <v>4</v>
      </c>
      <c r="F94" s="32" t="s">
        <v>218</v>
      </c>
      <c r="G94" s="27"/>
    </row>
    <row r="95" spans="1:7" ht="13" x14ac:dyDescent="0.15">
      <c r="A95" s="1" t="s">
        <v>19</v>
      </c>
      <c r="B95" s="2" t="s">
        <v>20</v>
      </c>
      <c r="C95" s="9" t="s">
        <v>117</v>
      </c>
      <c r="D95" s="9" t="s">
        <v>117</v>
      </c>
      <c r="E95" s="10">
        <v>6</v>
      </c>
      <c r="F95" s="1" t="s">
        <v>221</v>
      </c>
      <c r="G95" s="24" t="s">
        <v>242</v>
      </c>
    </row>
    <row r="96" spans="1:7" ht="13" x14ac:dyDescent="0.15">
      <c r="A96" s="1" t="s">
        <v>24</v>
      </c>
      <c r="B96" s="2" t="s">
        <v>20</v>
      </c>
      <c r="C96" s="3" t="s">
        <v>90</v>
      </c>
      <c r="D96" s="3" t="s">
        <v>90</v>
      </c>
      <c r="E96" s="10">
        <v>1</v>
      </c>
      <c r="F96" s="1" t="s">
        <v>57</v>
      </c>
    </row>
    <row r="97" spans="1:7" ht="13" x14ac:dyDescent="0.15">
      <c r="C97" s="28" t="s">
        <v>187</v>
      </c>
      <c r="D97" s="28" t="s">
        <v>187</v>
      </c>
      <c r="E97" s="29">
        <f>SUM(E94:E96)</f>
        <v>11</v>
      </c>
    </row>
    <row r="98" spans="1:7" x14ac:dyDescent="0.15">
      <c r="E98" s="10"/>
    </row>
    <row r="99" spans="1:7" ht="13" x14ac:dyDescent="0.15">
      <c r="A99" s="20" t="s">
        <v>243</v>
      </c>
      <c r="B99" s="21"/>
      <c r="C99" s="36" t="s">
        <v>244</v>
      </c>
      <c r="D99" s="36" t="s">
        <v>244</v>
      </c>
      <c r="E99" s="10"/>
    </row>
    <row r="100" spans="1:7" ht="13" x14ac:dyDescent="0.15">
      <c r="A100" s="1" t="s">
        <v>15</v>
      </c>
      <c r="B100" s="2" t="s">
        <v>20</v>
      </c>
      <c r="C100" s="9" t="s">
        <v>245</v>
      </c>
      <c r="D100" s="9" t="s">
        <v>245</v>
      </c>
      <c r="E100" s="10">
        <v>6</v>
      </c>
      <c r="F100" s="1" t="s">
        <v>191</v>
      </c>
      <c r="G100" s="24" t="s">
        <v>246</v>
      </c>
    </row>
    <row r="101" spans="1:7" ht="13" x14ac:dyDescent="0.15">
      <c r="A101" s="1" t="s">
        <v>19</v>
      </c>
      <c r="B101" s="2" t="s">
        <v>20</v>
      </c>
      <c r="C101" s="9" t="s">
        <v>247</v>
      </c>
      <c r="D101" s="9" t="s">
        <v>247</v>
      </c>
      <c r="E101" s="10">
        <v>20</v>
      </c>
      <c r="F101" s="1" t="s">
        <v>248</v>
      </c>
      <c r="G101" s="24" t="s">
        <v>249</v>
      </c>
    </row>
    <row r="102" spans="1:7" ht="13" x14ac:dyDescent="0.15">
      <c r="A102" s="1" t="s">
        <v>24</v>
      </c>
      <c r="B102" s="2" t="s">
        <v>20</v>
      </c>
      <c r="C102" s="9" t="s">
        <v>250</v>
      </c>
      <c r="D102" s="9" t="s">
        <v>250</v>
      </c>
      <c r="E102" s="10">
        <v>32</v>
      </c>
      <c r="F102" s="1" t="s">
        <v>251</v>
      </c>
    </row>
    <row r="103" spans="1:7" ht="13" x14ac:dyDescent="0.15">
      <c r="A103" s="1" t="s">
        <v>28</v>
      </c>
      <c r="B103" s="2" t="s">
        <v>20</v>
      </c>
      <c r="C103" s="9" t="s">
        <v>252</v>
      </c>
      <c r="D103" s="9" t="s">
        <v>252</v>
      </c>
      <c r="E103" s="10">
        <v>2</v>
      </c>
      <c r="F103" s="1" t="s">
        <v>253</v>
      </c>
      <c r="G103" s="24"/>
    </row>
    <row r="104" spans="1:7" ht="13" x14ac:dyDescent="0.15">
      <c r="C104" s="28" t="s">
        <v>187</v>
      </c>
      <c r="D104" s="28" t="s">
        <v>187</v>
      </c>
      <c r="E104" s="29">
        <f>SUM(E100:E103)</f>
        <v>60</v>
      </c>
    </row>
    <row r="105" spans="1:7" x14ac:dyDescent="0.15">
      <c r="C105" s="28"/>
      <c r="D105" s="28"/>
      <c r="E105" s="10"/>
    </row>
    <row r="106" spans="1:7" ht="13" x14ac:dyDescent="0.15">
      <c r="A106" s="20" t="s">
        <v>254</v>
      </c>
      <c r="B106" s="21"/>
      <c r="C106" s="36" t="s">
        <v>255</v>
      </c>
      <c r="D106" s="36" t="s">
        <v>255</v>
      </c>
      <c r="E106" s="10"/>
    </row>
    <row r="107" spans="1:7" ht="13" x14ac:dyDescent="0.15">
      <c r="A107" s="1" t="s">
        <v>15</v>
      </c>
      <c r="B107" s="2" t="s">
        <v>20</v>
      </c>
      <c r="C107" s="9" t="s">
        <v>17</v>
      </c>
      <c r="D107" s="23" t="s">
        <v>17</v>
      </c>
      <c r="E107" s="10">
        <v>11</v>
      </c>
      <c r="F107" s="1" t="s">
        <v>18</v>
      </c>
      <c r="G107" s="24" t="s">
        <v>256</v>
      </c>
    </row>
    <row r="108" spans="1:7" ht="13" x14ac:dyDescent="0.15">
      <c r="A108" s="1" t="s">
        <v>19</v>
      </c>
      <c r="B108" s="2" t="s">
        <v>20</v>
      </c>
      <c r="C108" s="9" t="s">
        <v>257</v>
      </c>
      <c r="D108" s="9" t="s">
        <v>257</v>
      </c>
      <c r="E108" s="10">
        <v>8</v>
      </c>
      <c r="F108" s="1" t="s">
        <v>258</v>
      </c>
    </row>
    <row r="109" spans="1:7" ht="13" x14ac:dyDescent="0.15">
      <c r="A109" s="1" t="s">
        <v>24</v>
      </c>
      <c r="B109" s="2" t="s">
        <v>20</v>
      </c>
      <c r="C109" s="9" t="s">
        <v>259</v>
      </c>
      <c r="D109" s="9" t="s">
        <v>259</v>
      </c>
      <c r="E109" s="10">
        <v>50</v>
      </c>
      <c r="F109" s="1" t="s">
        <v>260</v>
      </c>
    </row>
    <row r="110" spans="1:7" ht="13" x14ac:dyDescent="0.15">
      <c r="C110" s="28" t="s">
        <v>187</v>
      </c>
      <c r="D110" s="28" t="s">
        <v>187</v>
      </c>
      <c r="E110" s="29">
        <f>SUM(E107:E109)</f>
        <v>69</v>
      </c>
    </row>
    <row r="111" spans="1:7" x14ac:dyDescent="0.15">
      <c r="C111" s="9"/>
      <c r="D111" s="9"/>
      <c r="E111" s="10"/>
    </row>
    <row r="112" spans="1:7" ht="13" x14ac:dyDescent="0.15">
      <c r="A112" s="20" t="s">
        <v>261</v>
      </c>
      <c r="B112" s="21"/>
      <c r="C112" s="22" t="s">
        <v>77</v>
      </c>
      <c r="D112" s="22" t="s">
        <v>77</v>
      </c>
      <c r="E112" s="10"/>
      <c r="G112" s="37"/>
    </row>
    <row r="113" spans="1:7" ht="13" x14ac:dyDescent="0.15">
      <c r="A113" s="1" t="s">
        <v>15</v>
      </c>
      <c r="B113" s="2" t="s">
        <v>262</v>
      </c>
      <c r="C113" s="9" t="s">
        <v>263</v>
      </c>
      <c r="D113" s="9" t="s">
        <v>263</v>
      </c>
      <c r="E113" s="10">
        <v>2</v>
      </c>
      <c r="F113" s="1" t="s">
        <v>264</v>
      </c>
      <c r="G113" s="24" t="s">
        <v>265</v>
      </c>
    </row>
    <row r="114" spans="1:7" ht="13" x14ac:dyDescent="0.15">
      <c r="A114" s="1" t="s">
        <v>19</v>
      </c>
      <c r="B114" s="2" t="s">
        <v>20</v>
      </c>
      <c r="C114" s="9" t="s">
        <v>266</v>
      </c>
      <c r="D114" s="9" t="s">
        <v>266</v>
      </c>
      <c r="E114" s="10">
        <v>10</v>
      </c>
      <c r="F114" s="1" t="s">
        <v>267</v>
      </c>
    </row>
    <row r="115" spans="1:7" ht="13" x14ac:dyDescent="0.15">
      <c r="A115" s="1" t="s">
        <v>24</v>
      </c>
      <c r="B115" s="2" t="s">
        <v>268</v>
      </c>
      <c r="C115" s="9" t="s">
        <v>269</v>
      </c>
      <c r="D115" s="9" t="s">
        <v>269</v>
      </c>
      <c r="E115" s="10">
        <v>50</v>
      </c>
      <c r="F115" s="1" t="s">
        <v>270</v>
      </c>
    </row>
    <row r="116" spans="1:7" ht="13" x14ac:dyDescent="0.15">
      <c r="A116" s="1" t="s">
        <v>28</v>
      </c>
      <c r="B116" s="2" t="s">
        <v>20</v>
      </c>
      <c r="C116" s="9" t="s">
        <v>90</v>
      </c>
      <c r="D116" s="9" t="s">
        <v>90</v>
      </c>
      <c r="E116" s="10">
        <v>1</v>
      </c>
      <c r="F116" s="1" t="s">
        <v>271</v>
      </c>
    </row>
    <row r="117" spans="1:7" ht="13" x14ac:dyDescent="0.15">
      <c r="C117" s="28" t="s">
        <v>187</v>
      </c>
      <c r="D117" s="28" t="s">
        <v>187</v>
      </c>
      <c r="E117" s="29">
        <f>SUM(E113:E116)</f>
        <v>63</v>
      </c>
    </row>
    <row r="118" spans="1:7" x14ac:dyDescent="0.15">
      <c r="C118" s="9"/>
      <c r="D118" s="9"/>
      <c r="E118" s="10"/>
    </row>
    <row r="119" spans="1:7" ht="13" x14ac:dyDescent="0.15">
      <c r="A119" s="20" t="s">
        <v>272</v>
      </c>
      <c r="B119" s="21"/>
      <c r="C119" s="36" t="s">
        <v>273</v>
      </c>
      <c r="D119" s="36" t="s">
        <v>273</v>
      </c>
      <c r="E119" s="10"/>
      <c r="G119" s="37"/>
    </row>
    <row r="120" spans="1:7" ht="13" x14ac:dyDescent="0.15">
      <c r="A120" s="1" t="s">
        <v>15</v>
      </c>
      <c r="B120" s="2" t="s">
        <v>274</v>
      </c>
      <c r="C120" s="9" t="s">
        <v>275</v>
      </c>
      <c r="D120" s="9" t="s">
        <v>275</v>
      </c>
      <c r="E120" s="10">
        <v>2</v>
      </c>
      <c r="F120" s="1" t="s">
        <v>264</v>
      </c>
      <c r="G120" s="24" t="s">
        <v>276</v>
      </c>
    </row>
    <row r="121" spans="1:7" ht="13" x14ac:dyDescent="0.15">
      <c r="A121" s="1" t="s">
        <v>19</v>
      </c>
      <c r="B121" s="2" t="s">
        <v>277</v>
      </c>
      <c r="C121" s="26" t="s">
        <v>278</v>
      </c>
      <c r="D121" s="26" t="s">
        <v>278</v>
      </c>
      <c r="E121" s="10">
        <v>2</v>
      </c>
      <c r="F121" s="1" t="s">
        <v>279</v>
      </c>
    </row>
    <row r="122" spans="1:7" ht="13" x14ac:dyDescent="0.15">
      <c r="A122" s="1" t="s">
        <v>24</v>
      </c>
      <c r="B122" s="2" t="s">
        <v>277</v>
      </c>
      <c r="C122" s="26" t="s">
        <v>280</v>
      </c>
      <c r="D122" s="26" t="s">
        <v>280</v>
      </c>
      <c r="E122" s="10">
        <v>1</v>
      </c>
      <c r="F122" s="1" t="s">
        <v>281</v>
      </c>
    </row>
    <row r="123" spans="1:7" ht="13" x14ac:dyDescent="0.15">
      <c r="A123" s="1" t="s">
        <v>28</v>
      </c>
      <c r="B123" s="2" t="s">
        <v>277</v>
      </c>
      <c r="C123" s="26" t="s">
        <v>282</v>
      </c>
      <c r="D123" s="26" t="s">
        <v>282</v>
      </c>
      <c r="E123" s="10">
        <v>1</v>
      </c>
      <c r="F123" s="1" t="s">
        <v>283</v>
      </c>
    </row>
    <row r="124" spans="1:7" ht="13" x14ac:dyDescent="0.15">
      <c r="A124" s="1" t="s">
        <v>31</v>
      </c>
      <c r="B124" s="2" t="s">
        <v>277</v>
      </c>
      <c r="C124" s="26" t="s">
        <v>284</v>
      </c>
      <c r="D124" s="26" t="s">
        <v>284</v>
      </c>
      <c r="E124" s="10">
        <v>2</v>
      </c>
      <c r="F124" s="1" t="s">
        <v>285</v>
      </c>
    </row>
    <row r="125" spans="1:7" ht="13" x14ac:dyDescent="0.15">
      <c r="A125" s="1" t="s">
        <v>35</v>
      </c>
      <c r="B125" s="2" t="s">
        <v>286</v>
      </c>
      <c r="C125" s="9" t="s">
        <v>269</v>
      </c>
      <c r="D125" s="9" t="s">
        <v>269</v>
      </c>
      <c r="E125" s="10">
        <v>72</v>
      </c>
      <c r="F125" s="1" t="s">
        <v>287</v>
      </c>
    </row>
    <row r="126" spans="1:7" ht="13" x14ac:dyDescent="0.15">
      <c r="A126" s="1" t="s">
        <v>40</v>
      </c>
      <c r="C126" s="9" t="s">
        <v>90</v>
      </c>
      <c r="D126" s="9" t="s">
        <v>90</v>
      </c>
      <c r="E126" s="10">
        <v>72</v>
      </c>
      <c r="F126" s="1" t="s">
        <v>288</v>
      </c>
    </row>
    <row r="127" spans="1:7" ht="13" x14ac:dyDescent="0.15">
      <c r="C127" s="28" t="s">
        <v>187</v>
      </c>
      <c r="D127" s="28" t="s">
        <v>187</v>
      </c>
      <c r="E127" s="29">
        <f>SUM(E120:E126)</f>
        <v>152</v>
      </c>
    </row>
    <row r="128" spans="1:7" x14ac:dyDescent="0.15">
      <c r="C128" s="28"/>
      <c r="D128" s="28"/>
      <c r="E128" s="29"/>
    </row>
    <row r="129" spans="1:7" ht="13" x14ac:dyDescent="0.15">
      <c r="A129" s="20" t="s">
        <v>289</v>
      </c>
      <c r="B129" s="21"/>
      <c r="C129" s="22" t="s">
        <v>290</v>
      </c>
      <c r="D129" s="22" t="s">
        <v>290</v>
      </c>
      <c r="E129" s="10"/>
      <c r="G129" s="37"/>
    </row>
    <row r="130" spans="1:7" ht="13" x14ac:dyDescent="0.15">
      <c r="A130" s="1" t="s">
        <v>15</v>
      </c>
      <c r="B130" s="2" t="s">
        <v>20</v>
      </c>
      <c r="C130" s="9" t="s">
        <v>263</v>
      </c>
      <c r="D130" s="9" t="s">
        <v>263</v>
      </c>
      <c r="E130" s="10">
        <v>1</v>
      </c>
      <c r="F130" s="1" t="s">
        <v>291</v>
      </c>
      <c r="G130" s="24" t="s">
        <v>292</v>
      </c>
    </row>
    <row r="131" spans="1:7" ht="13" x14ac:dyDescent="0.15">
      <c r="A131" s="1" t="s">
        <v>19</v>
      </c>
      <c r="B131" s="2" t="s">
        <v>20</v>
      </c>
      <c r="C131" s="9" t="s">
        <v>269</v>
      </c>
      <c r="D131" s="9" t="s">
        <v>269</v>
      </c>
      <c r="E131" s="10">
        <v>50</v>
      </c>
      <c r="F131" s="1" t="s">
        <v>293</v>
      </c>
    </row>
    <row r="132" spans="1:7" ht="13" x14ac:dyDescent="0.15">
      <c r="A132" s="1" t="s">
        <v>24</v>
      </c>
      <c r="B132" s="2" t="s">
        <v>20</v>
      </c>
      <c r="C132" s="9" t="s">
        <v>90</v>
      </c>
      <c r="D132" s="9" t="s">
        <v>90</v>
      </c>
      <c r="E132" s="10">
        <v>1</v>
      </c>
      <c r="F132" s="1" t="s">
        <v>294</v>
      </c>
    </row>
    <row r="133" spans="1:7" ht="13" x14ac:dyDescent="0.15">
      <c r="C133" s="28" t="s">
        <v>187</v>
      </c>
      <c r="D133" s="28" t="s">
        <v>187</v>
      </c>
      <c r="E133" s="29">
        <f>SUM(E129:E132)</f>
        <v>52</v>
      </c>
    </row>
    <row r="134" spans="1:7" x14ac:dyDescent="0.15">
      <c r="C134" s="28"/>
      <c r="D134" s="28"/>
      <c r="E134" s="29"/>
    </row>
    <row r="135" spans="1:7" ht="13" x14ac:dyDescent="0.15">
      <c r="A135" s="20" t="s">
        <v>295</v>
      </c>
      <c r="B135" s="21"/>
      <c r="C135" s="36" t="s">
        <v>296</v>
      </c>
      <c r="D135" s="36" t="s">
        <v>296</v>
      </c>
      <c r="E135" s="10"/>
      <c r="G135" s="37"/>
    </row>
    <row r="136" spans="1:7" ht="13" x14ac:dyDescent="0.15">
      <c r="A136" s="1" t="s">
        <v>15</v>
      </c>
      <c r="B136" s="2" t="s">
        <v>20</v>
      </c>
      <c r="C136" s="9" t="s">
        <v>263</v>
      </c>
      <c r="D136" s="9" t="s">
        <v>263</v>
      </c>
      <c r="E136" s="10">
        <v>4</v>
      </c>
      <c r="F136" s="1" t="s">
        <v>218</v>
      </c>
      <c r="G136" s="24" t="s">
        <v>297</v>
      </c>
    </row>
    <row r="137" spans="1:7" ht="13" x14ac:dyDescent="0.15">
      <c r="A137" s="1" t="s">
        <v>19</v>
      </c>
      <c r="B137" s="2" t="s">
        <v>20</v>
      </c>
      <c r="C137" s="9" t="s">
        <v>266</v>
      </c>
      <c r="D137" s="9" t="s">
        <v>266</v>
      </c>
      <c r="E137" s="10">
        <v>10</v>
      </c>
      <c r="F137" s="1" t="s">
        <v>298</v>
      </c>
    </row>
    <row r="138" spans="1:7" ht="13" x14ac:dyDescent="0.15">
      <c r="A138" s="1" t="s">
        <v>24</v>
      </c>
      <c r="B138" s="2" t="s">
        <v>20</v>
      </c>
      <c r="C138" s="9" t="s">
        <v>269</v>
      </c>
      <c r="D138" s="9" t="s">
        <v>269</v>
      </c>
      <c r="E138" s="10">
        <v>50</v>
      </c>
      <c r="F138" s="1" t="s">
        <v>299</v>
      </c>
    </row>
    <row r="139" spans="1:7" ht="13" x14ac:dyDescent="0.15">
      <c r="A139" s="1" t="s">
        <v>28</v>
      </c>
      <c r="B139" s="2" t="s">
        <v>20</v>
      </c>
      <c r="C139" s="9" t="s">
        <v>90</v>
      </c>
      <c r="D139" s="9" t="s">
        <v>90</v>
      </c>
      <c r="E139" s="10">
        <v>1</v>
      </c>
      <c r="F139" s="1" t="s">
        <v>300</v>
      </c>
    </row>
    <row r="140" spans="1:7" ht="13" x14ac:dyDescent="0.15">
      <c r="C140" s="28" t="s">
        <v>187</v>
      </c>
      <c r="D140" s="28" t="s">
        <v>187</v>
      </c>
      <c r="E140" s="29">
        <f>SUM(E136:E139)</f>
        <v>65</v>
      </c>
    </row>
    <row r="141" spans="1:7" x14ac:dyDescent="0.15">
      <c r="C141" s="28"/>
      <c r="D141" s="28"/>
      <c r="E141" s="29"/>
    </row>
    <row r="142" spans="1:7" ht="13" x14ac:dyDescent="0.15">
      <c r="A142" s="20" t="s">
        <v>301</v>
      </c>
      <c r="B142" s="21"/>
      <c r="C142" s="36" t="s">
        <v>302</v>
      </c>
      <c r="D142" s="36" t="s">
        <v>302</v>
      </c>
      <c r="E142" s="10"/>
      <c r="G142" s="37"/>
    </row>
    <row r="143" spans="1:7" ht="13" x14ac:dyDescent="0.15">
      <c r="A143" s="1" t="s">
        <v>15</v>
      </c>
      <c r="C143" s="9" t="s">
        <v>303</v>
      </c>
      <c r="D143" s="9" t="s">
        <v>303</v>
      </c>
      <c r="E143" s="10">
        <v>1</v>
      </c>
      <c r="F143" s="1" t="s">
        <v>291</v>
      </c>
      <c r="G143" s="5" t="s">
        <v>304</v>
      </c>
    </row>
    <row r="144" spans="1:7" ht="26" x14ac:dyDescent="0.15">
      <c r="A144" s="1" t="s">
        <v>19</v>
      </c>
      <c r="B144" s="39" t="s">
        <v>305</v>
      </c>
      <c r="C144" s="9" t="s">
        <v>263</v>
      </c>
      <c r="D144" s="9" t="s">
        <v>263</v>
      </c>
      <c r="E144" s="10">
        <v>3</v>
      </c>
      <c r="F144" s="1" t="s">
        <v>306</v>
      </c>
      <c r="G144" s="24" t="s">
        <v>307</v>
      </c>
    </row>
    <row r="145" spans="1:7" ht="13" x14ac:dyDescent="0.15">
      <c r="A145" s="1" t="s">
        <v>24</v>
      </c>
      <c r="B145" s="2" t="s">
        <v>308</v>
      </c>
      <c r="C145" s="9" t="s">
        <v>266</v>
      </c>
      <c r="D145" s="9" t="s">
        <v>266</v>
      </c>
      <c r="E145" s="10">
        <v>10</v>
      </c>
      <c r="F145" s="1" t="s">
        <v>298</v>
      </c>
    </row>
    <row r="146" spans="1:7" ht="13" x14ac:dyDescent="0.15">
      <c r="A146" s="1" t="s">
        <v>28</v>
      </c>
      <c r="B146" s="2" t="s">
        <v>309</v>
      </c>
      <c r="C146" s="9" t="s">
        <v>269</v>
      </c>
      <c r="D146" s="9" t="s">
        <v>269</v>
      </c>
      <c r="E146" s="10">
        <v>50</v>
      </c>
      <c r="F146" s="1" t="s">
        <v>299</v>
      </c>
    </row>
    <row r="147" spans="1:7" ht="13" x14ac:dyDescent="0.15">
      <c r="A147" s="1" t="s">
        <v>31</v>
      </c>
      <c r="C147" s="9" t="s">
        <v>90</v>
      </c>
      <c r="D147" s="9" t="s">
        <v>90</v>
      </c>
      <c r="E147" s="10">
        <v>1</v>
      </c>
      <c r="F147" s="1" t="s">
        <v>300</v>
      </c>
    </row>
    <row r="148" spans="1:7" ht="13" x14ac:dyDescent="0.15">
      <c r="C148" s="28" t="s">
        <v>187</v>
      </c>
      <c r="D148" s="28" t="s">
        <v>187</v>
      </c>
      <c r="E148" s="29">
        <f>SUM(E143:E147)</f>
        <v>65</v>
      </c>
    </row>
    <row r="149" spans="1:7" x14ac:dyDescent="0.15">
      <c r="C149" s="28"/>
      <c r="D149" s="28"/>
      <c r="E149" s="29"/>
    </row>
    <row r="150" spans="1:7" ht="13" x14ac:dyDescent="0.15">
      <c r="A150" s="36" t="s">
        <v>310</v>
      </c>
      <c r="B150" s="38"/>
      <c r="C150" s="36" t="s">
        <v>311</v>
      </c>
      <c r="D150" s="36" t="s">
        <v>311</v>
      </c>
      <c r="E150" s="10"/>
      <c r="G150" s="37"/>
    </row>
    <row r="151" spans="1:7" ht="13" x14ac:dyDescent="0.15">
      <c r="A151" s="1" t="s">
        <v>15</v>
      </c>
      <c r="B151" s="2" t="s">
        <v>20</v>
      </c>
      <c r="C151" s="23" t="s">
        <v>263</v>
      </c>
      <c r="D151" s="23" t="s">
        <v>263</v>
      </c>
      <c r="E151" s="31">
        <v>2</v>
      </c>
      <c r="F151" s="32" t="s">
        <v>264</v>
      </c>
      <c r="G151" s="25" t="s">
        <v>312</v>
      </c>
    </row>
    <row r="152" spans="1:7" ht="13" x14ac:dyDescent="0.15">
      <c r="A152" s="1" t="s">
        <v>19</v>
      </c>
      <c r="B152" s="2" t="s">
        <v>20</v>
      </c>
      <c r="C152" s="23" t="s">
        <v>266</v>
      </c>
      <c r="D152" s="23" t="s">
        <v>266</v>
      </c>
      <c r="E152" s="31">
        <v>10</v>
      </c>
      <c r="F152" s="32" t="s">
        <v>267</v>
      </c>
      <c r="G152" s="27"/>
    </row>
    <row r="153" spans="1:7" ht="13" x14ac:dyDescent="0.15">
      <c r="A153" s="1" t="s">
        <v>24</v>
      </c>
      <c r="B153" s="2" t="s">
        <v>20</v>
      </c>
      <c r="C153" s="23" t="s">
        <v>269</v>
      </c>
      <c r="D153" s="23" t="s">
        <v>269</v>
      </c>
      <c r="E153" s="31">
        <v>50</v>
      </c>
      <c r="F153" s="32" t="s">
        <v>270</v>
      </c>
      <c r="G153" s="27"/>
    </row>
    <row r="154" spans="1:7" ht="13" x14ac:dyDescent="0.15">
      <c r="A154" s="1" t="s">
        <v>28</v>
      </c>
      <c r="B154" s="2" t="s">
        <v>20</v>
      </c>
      <c r="C154" s="9" t="s">
        <v>90</v>
      </c>
      <c r="D154" s="9" t="s">
        <v>90</v>
      </c>
      <c r="E154" s="10">
        <v>1</v>
      </c>
      <c r="F154" s="1" t="s">
        <v>271</v>
      </c>
    </row>
    <row r="155" spans="1:7" ht="13" x14ac:dyDescent="0.15">
      <c r="C155" s="28" t="s">
        <v>187</v>
      </c>
      <c r="D155" s="28" t="s">
        <v>187</v>
      </c>
      <c r="E155" s="29">
        <f>SUM(E151:E154)</f>
        <v>63</v>
      </c>
    </row>
    <row r="156" spans="1:7" x14ac:dyDescent="0.15">
      <c r="C156" s="28"/>
      <c r="D156" s="28"/>
      <c r="E156" s="29"/>
    </row>
    <row r="157" spans="1:7" ht="13" x14ac:dyDescent="0.15">
      <c r="A157" s="20" t="s">
        <v>313</v>
      </c>
      <c r="B157" s="21"/>
      <c r="C157" s="22" t="s">
        <v>314</v>
      </c>
      <c r="D157" s="22" t="s">
        <v>314</v>
      </c>
      <c r="E157" s="10"/>
    </row>
    <row r="158" spans="1:7" ht="13" x14ac:dyDescent="0.15">
      <c r="A158" s="1" t="s">
        <v>15</v>
      </c>
      <c r="B158" s="2" t="s">
        <v>20</v>
      </c>
      <c r="C158" s="9" t="s">
        <v>263</v>
      </c>
      <c r="D158" s="9" t="s">
        <v>263</v>
      </c>
      <c r="E158" s="10">
        <v>5</v>
      </c>
      <c r="F158" s="1" t="s">
        <v>315</v>
      </c>
      <c r="G158" s="24" t="s">
        <v>316</v>
      </c>
    </row>
    <row r="159" spans="1:7" ht="13" x14ac:dyDescent="0.15">
      <c r="A159" s="1" t="s">
        <v>19</v>
      </c>
      <c r="B159" s="2" t="s">
        <v>20</v>
      </c>
      <c r="C159" s="9" t="s">
        <v>266</v>
      </c>
      <c r="D159" s="9" t="s">
        <v>266</v>
      </c>
      <c r="E159" s="10">
        <v>50</v>
      </c>
      <c r="F159" s="1" t="s">
        <v>317</v>
      </c>
      <c r="G159" s="24" t="s">
        <v>318</v>
      </c>
    </row>
    <row r="160" spans="1:7" ht="26" x14ac:dyDescent="0.15">
      <c r="A160" s="1" t="s">
        <v>24</v>
      </c>
      <c r="B160" s="2" t="s">
        <v>20</v>
      </c>
      <c r="C160" s="23" t="s">
        <v>269</v>
      </c>
      <c r="D160" s="23" t="s">
        <v>269</v>
      </c>
      <c r="E160" s="31">
        <v>500</v>
      </c>
      <c r="F160" s="32" t="s">
        <v>319</v>
      </c>
      <c r="G160" s="27" t="s">
        <v>320</v>
      </c>
    </row>
    <row r="161" spans="1:7" ht="13" x14ac:dyDescent="0.15">
      <c r="C161" s="28" t="s">
        <v>187</v>
      </c>
      <c r="D161" s="28" t="s">
        <v>187</v>
      </c>
      <c r="E161" s="40">
        <f>SUM(E158:E160)</f>
        <v>555</v>
      </c>
    </row>
    <row r="163" spans="1:7" ht="13" x14ac:dyDescent="0.15">
      <c r="A163" s="20" t="s">
        <v>321</v>
      </c>
      <c r="B163" s="21"/>
      <c r="C163" s="36" t="s">
        <v>322</v>
      </c>
      <c r="D163" s="36" t="s">
        <v>322</v>
      </c>
      <c r="E163" s="10"/>
      <c r="G163" s="37"/>
    </row>
    <row r="164" spans="1:7" ht="13" x14ac:dyDescent="0.15">
      <c r="A164" s="1" t="s">
        <v>15</v>
      </c>
      <c r="B164" s="2" t="s">
        <v>20</v>
      </c>
      <c r="C164" s="9" t="s">
        <v>263</v>
      </c>
      <c r="D164" s="9" t="s">
        <v>263</v>
      </c>
      <c r="E164" s="10">
        <v>5</v>
      </c>
      <c r="F164" s="1" t="s">
        <v>315</v>
      </c>
      <c r="G164" s="24" t="s">
        <v>323</v>
      </c>
    </row>
    <row r="165" spans="1:7" ht="13" x14ac:dyDescent="0.15">
      <c r="A165" s="1" t="s">
        <v>19</v>
      </c>
      <c r="B165" s="2" t="s">
        <v>20</v>
      </c>
      <c r="C165" s="9" t="s">
        <v>324</v>
      </c>
      <c r="D165" s="9" t="s">
        <v>324</v>
      </c>
      <c r="E165" s="10">
        <v>1</v>
      </c>
      <c r="F165" s="1" t="s">
        <v>283</v>
      </c>
      <c r="G165" s="5" t="s">
        <v>325</v>
      </c>
    </row>
    <row r="166" spans="1:7" ht="13" x14ac:dyDescent="0.15">
      <c r="A166" s="1" t="s">
        <v>24</v>
      </c>
      <c r="B166" s="2" t="s">
        <v>20</v>
      </c>
      <c r="C166" s="9" t="s">
        <v>266</v>
      </c>
      <c r="D166" s="9" t="s">
        <v>266</v>
      </c>
      <c r="E166" s="10">
        <v>10</v>
      </c>
      <c r="F166" s="1" t="s">
        <v>326</v>
      </c>
    </row>
    <row r="167" spans="1:7" ht="13" x14ac:dyDescent="0.15">
      <c r="A167" s="1" t="s">
        <v>28</v>
      </c>
      <c r="B167" s="2" t="s">
        <v>20</v>
      </c>
      <c r="C167" s="9" t="s">
        <v>269</v>
      </c>
      <c r="D167" s="9" t="s">
        <v>269</v>
      </c>
      <c r="E167" s="10">
        <v>50</v>
      </c>
      <c r="F167" s="1" t="s">
        <v>327</v>
      </c>
    </row>
    <row r="168" spans="1:7" ht="13" x14ac:dyDescent="0.15">
      <c r="A168" s="1" t="s">
        <v>31</v>
      </c>
      <c r="B168" s="2" t="s">
        <v>20</v>
      </c>
      <c r="C168" s="9" t="s">
        <v>90</v>
      </c>
      <c r="D168" s="9" t="s">
        <v>90</v>
      </c>
      <c r="E168" s="10">
        <v>1</v>
      </c>
      <c r="F168" s="1" t="s">
        <v>328</v>
      </c>
    </row>
    <row r="169" spans="1:7" ht="13" x14ac:dyDescent="0.15">
      <c r="C169" s="28" t="s">
        <v>187</v>
      </c>
      <c r="D169" s="28" t="s">
        <v>187</v>
      </c>
      <c r="E169" s="29">
        <f>SUM(E164:E168)</f>
        <v>67</v>
      </c>
    </row>
    <row r="170" spans="1:7" x14ac:dyDescent="0.15">
      <c r="C170" s="28"/>
      <c r="D170" s="28"/>
      <c r="E170" s="29"/>
    </row>
    <row r="171" spans="1:7" ht="13" x14ac:dyDescent="0.15">
      <c r="A171" s="20" t="s">
        <v>329</v>
      </c>
      <c r="B171" s="21"/>
      <c r="C171" s="22" t="s">
        <v>330</v>
      </c>
      <c r="D171" s="22" t="s">
        <v>330</v>
      </c>
      <c r="E171" s="10"/>
    </row>
    <row r="172" spans="1:7" ht="13" x14ac:dyDescent="0.15">
      <c r="A172" s="1" t="s">
        <v>15</v>
      </c>
      <c r="B172" s="2" t="s">
        <v>20</v>
      </c>
      <c r="C172" s="9" t="s">
        <v>263</v>
      </c>
      <c r="D172" s="9" t="s">
        <v>263</v>
      </c>
      <c r="E172" s="10">
        <v>5</v>
      </c>
      <c r="F172" s="1" t="s">
        <v>315</v>
      </c>
      <c r="G172" s="24" t="s">
        <v>331</v>
      </c>
    </row>
    <row r="173" spans="1:7" ht="13" x14ac:dyDescent="0.15">
      <c r="A173" s="1" t="s">
        <v>19</v>
      </c>
      <c r="B173" s="2" t="s">
        <v>20</v>
      </c>
      <c r="C173" s="9" t="s">
        <v>266</v>
      </c>
      <c r="D173" s="9" t="s">
        <v>266</v>
      </c>
      <c r="E173" s="10">
        <v>10</v>
      </c>
      <c r="F173" s="1" t="s">
        <v>332</v>
      </c>
      <c r="G173" s="24" t="s">
        <v>333</v>
      </c>
    </row>
    <row r="174" spans="1:7" ht="13" x14ac:dyDescent="0.15">
      <c r="A174" s="1" t="s">
        <v>24</v>
      </c>
      <c r="B174" s="2" t="s">
        <v>20</v>
      </c>
      <c r="C174" s="9" t="s">
        <v>269</v>
      </c>
      <c r="D174" s="9" t="s">
        <v>269</v>
      </c>
      <c r="E174" s="10">
        <v>50</v>
      </c>
      <c r="F174" s="1" t="s">
        <v>334</v>
      </c>
      <c r="G174" s="5" t="s">
        <v>335</v>
      </c>
    </row>
    <row r="175" spans="1:7" ht="13" x14ac:dyDescent="0.15">
      <c r="C175" s="28" t="s">
        <v>187</v>
      </c>
      <c r="D175" s="28" t="s">
        <v>187</v>
      </c>
      <c r="E175" s="40">
        <f>SUM(E172:E174)</f>
        <v>65</v>
      </c>
    </row>
    <row r="176" spans="1:7" x14ac:dyDescent="0.15">
      <c r="C176" s="28"/>
      <c r="D176" s="28"/>
    </row>
    <row r="177" spans="1:7" ht="13" x14ac:dyDescent="0.15">
      <c r="A177" s="20" t="s">
        <v>336</v>
      </c>
      <c r="B177" s="21"/>
      <c r="C177" s="22" t="s">
        <v>162</v>
      </c>
      <c r="D177" s="22" t="s">
        <v>162</v>
      </c>
      <c r="E177" s="10"/>
    </row>
    <row r="178" spans="1:7" ht="13" x14ac:dyDescent="0.15">
      <c r="A178" s="1" t="s">
        <v>15</v>
      </c>
      <c r="B178" s="2" t="s">
        <v>20</v>
      </c>
      <c r="C178" s="9" t="s">
        <v>263</v>
      </c>
      <c r="D178" s="9" t="s">
        <v>263</v>
      </c>
      <c r="E178" s="10">
        <v>1</v>
      </c>
      <c r="F178" s="1" t="s">
        <v>291</v>
      </c>
      <c r="G178" s="24" t="s">
        <v>337</v>
      </c>
    </row>
    <row r="179" spans="1:7" ht="13" x14ac:dyDescent="0.15">
      <c r="A179" s="1" t="s">
        <v>19</v>
      </c>
      <c r="B179" s="2" t="s">
        <v>20</v>
      </c>
      <c r="C179" s="9" t="s">
        <v>266</v>
      </c>
      <c r="D179" s="9" t="s">
        <v>266</v>
      </c>
      <c r="E179" s="10">
        <v>10</v>
      </c>
      <c r="F179" s="1" t="s">
        <v>338</v>
      </c>
      <c r="G179" s="24"/>
    </row>
    <row r="180" spans="1:7" ht="13" x14ac:dyDescent="0.15">
      <c r="A180" s="1" t="s">
        <v>24</v>
      </c>
      <c r="B180" s="2" t="s">
        <v>20</v>
      </c>
      <c r="C180" s="9" t="s">
        <v>269</v>
      </c>
      <c r="D180" s="9" t="s">
        <v>269</v>
      </c>
      <c r="E180" s="10">
        <v>50</v>
      </c>
      <c r="F180" s="1" t="s">
        <v>339</v>
      </c>
    </row>
    <row r="181" spans="1:7" ht="13" x14ac:dyDescent="0.15">
      <c r="C181" s="28" t="s">
        <v>187</v>
      </c>
      <c r="D181" s="28" t="s">
        <v>187</v>
      </c>
      <c r="E181" s="29">
        <f>SUM(E178:E180)</f>
        <v>61</v>
      </c>
    </row>
    <row r="182" spans="1:7" x14ac:dyDescent="0.15">
      <c r="C182" s="28"/>
      <c r="D182" s="28"/>
      <c r="E182" s="29"/>
    </row>
    <row r="183" spans="1:7" ht="13" x14ac:dyDescent="0.15">
      <c r="A183" s="20" t="s">
        <v>340</v>
      </c>
      <c r="B183" s="21"/>
      <c r="C183" s="22" t="s">
        <v>341</v>
      </c>
      <c r="D183" s="22" t="s">
        <v>342</v>
      </c>
      <c r="E183" s="10"/>
    </row>
    <row r="184" spans="1:7" ht="13" x14ac:dyDescent="0.15">
      <c r="A184" s="1" t="s">
        <v>15</v>
      </c>
      <c r="B184" s="2" t="s">
        <v>20</v>
      </c>
      <c r="C184" s="9" t="s">
        <v>17</v>
      </c>
      <c r="D184" s="23" t="s">
        <v>17</v>
      </c>
      <c r="E184" s="10">
        <v>11</v>
      </c>
      <c r="F184" s="1" t="s">
        <v>18</v>
      </c>
      <c r="G184" s="24" t="s">
        <v>115</v>
      </c>
    </row>
    <row r="185" spans="1:7" ht="26" x14ac:dyDescent="0.15">
      <c r="A185" s="1" t="s">
        <v>19</v>
      </c>
      <c r="B185" s="2" t="s">
        <v>20</v>
      </c>
      <c r="C185" s="9" t="s">
        <v>343</v>
      </c>
      <c r="D185" s="23" t="s">
        <v>344</v>
      </c>
      <c r="E185" s="10">
        <v>60</v>
      </c>
      <c r="F185" s="1" t="s">
        <v>345</v>
      </c>
    </row>
    <row r="186" spans="1:7" ht="13" x14ac:dyDescent="0.15">
      <c r="C186" s="28" t="s">
        <v>187</v>
      </c>
      <c r="D186" s="28" t="s">
        <v>187</v>
      </c>
      <c r="E186" s="29">
        <f>SUM(E184:E185)</f>
        <v>71</v>
      </c>
    </row>
    <row r="187" spans="1:7" x14ac:dyDescent="0.15">
      <c r="C187" s="28"/>
      <c r="D187" s="28"/>
      <c r="E187" s="10"/>
    </row>
    <row r="188" spans="1:7" ht="13" x14ac:dyDescent="0.15">
      <c r="A188" s="20" t="s">
        <v>346</v>
      </c>
      <c r="B188" s="21"/>
      <c r="C188" s="41" t="s">
        <v>347</v>
      </c>
      <c r="D188" s="41" t="s">
        <v>348</v>
      </c>
      <c r="G188" s="34"/>
    </row>
    <row r="189" spans="1:7" ht="13" x14ac:dyDescent="0.15">
      <c r="A189" s="1" t="s">
        <v>15</v>
      </c>
      <c r="B189" s="2" t="s">
        <v>286</v>
      </c>
      <c r="C189" s="3" t="s">
        <v>263</v>
      </c>
      <c r="D189" s="3" t="s">
        <v>263</v>
      </c>
      <c r="E189" s="4">
        <v>7</v>
      </c>
      <c r="F189" s="1" t="s">
        <v>349</v>
      </c>
      <c r="G189" s="5" t="s">
        <v>350</v>
      </c>
    </row>
    <row r="190" spans="1:7" ht="13" x14ac:dyDescent="0.15">
      <c r="A190" s="1" t="s">
        <v>19</v>
      </c>
      <c r="B190" s="2" t="s">
        <v>286</v>
      </c>
      <c r="C190" s="3" t="s">
        <v>269</v>
      </c>
      <c r="D190" s="3" t="s">
        <v>269</v>
      </c>
      <c r="E190" s="4">
        <v>100</v>
      </c>
      <c r="F190" s="1" t="s">
        <v>351</v>
      </c>
    </row>
    <row r="191" spans="1:7" ht="26" x14ac:dyDescent="0.15">
      <c r="A191" s="1" t="s">
        <v>24</v>
      </c>
      <c r="B191" s="2" t="s">
        <v>20</v>
      </c>
      <c r="C191" s="3" t="s">
        <v>352</v>
      </c>
      <c r="D191" s="3" t="s">
        <v>352</v>
      </c>
      <c r="E191" s="4">
        <v>1</v>
      </c>
      <c r="F191" s="1" t="s">
        <v>353</v>
      </c>
      <c r="G191" s="5" t="s">
        <v>354</v>
      </c>
    </row>
    <row r="192" spans="1:7" ht="13" x14ac:dyDescent="0.15">
      <c r="C192" s="42" t="s">
        <v>355</v>
      </c>
      <c r="D192" s="42" t="s">
        <v>355</v>
      </c>
      <c r="E192" s="40">
        <f>SUM(E189:E191)</f>
        <v>108</v>
      </c>
    </row>
    <row r="193" spans="1:8" x14ac:dyDescent="0.15">
      <c r="C193" s="28"/>
      <c r="D193" s="28"/>
      <c r="E193" s="29"/>
    </row>
    <row r="194" spans="1:8" ht="13" x14ac:dyDescent="0.15">
      <c r="A194" s="22" t="s">
        <v>356</v>
      </c>
      <c r="B194" s="38"/>
      <c r="C194" s="22" t="s">
        <v>357</v>
      </c>
      <c r="D194" s="22" t="s">
        <v>357</v>
      </c>
      <c r="E194" s="10"/>
    </row>
    <row r="195" spans="1:8" ht="26" x14ac:dyDescent="0.15">
      <c r="A195" s="1" t="s">
        <v>15</v>
      </c>
      <c r="B195" s="2" t="s">
        <v>20</v>
      </c>
      <c r="C195" s="23" t="s">
        <v>358</v>
      </c>
      <c r="D195" s="23" t="s">
        <v>358</v>
      </c>
      <c r="E195" s="31">
        <v>2</v>
      </c>
      <c r="F195" s="32" t="s">
        <v>264</v>
      </c>
      <c r="G195" s="25" t="s">
        <v>359</v>
      </c>
      <c r="H195" s="33"/>
    </row>
    <row r="196" spans="1:8" ht="13" x14ac:dyDescent="0.15">
      <c r="A196" s="1" t="s">
        <v>19</v>
      </c>
      <c r="B196" s="2" t="s">
        <v>20</v>
      </c>
      <c r="C196" s="23" t="s">
        <v>360</v>
      </c>
      <c r="D196" s="23" t="s">
        <v>360</v>
      </c>
      <c r="E196" s="31">
        <v>1</v>
      </c>
      <c r="F196" s="32" t="s">
        <v>361</v>
      </c>
      <c r="G196" s="25" t="s">
        <v>362</v>
      </c>
    </row>
    <row r="197" spans="1:8" ht="26" x14ac:dyDescent="0.15">
      <c r="A197" s="1" t="s">
        <v>24</v>
      </c>
      <c r="B197" s="2" t="s">
        <v>20</v>
      </c>
      <c r="C197" s="23" t="s">
        <v>363</v>
      </c>
      <c r="D197" s="23" t="s">
        <v>363</v>
      </c>
      <c r="E197" s="31">
        <v>8</v>
      </c>
      <c r="F197" s="32" t="s">
        <v>364</v>
      </c>
      <c r="G197" s="25" t="s">
        <v>365</v>
      </c>
    </row>
    <row r="198" spans="1:8" ht="26" x14ac:dyDescent="0.15">
      <c r="A198" s="1" t="s">
        <v>28</v>
      </c>
      <c r="B198" s="2" t="s">
        <v>20</v>
      </c>
      <c r="C198" s="23" t="s">
        <v>366</v>
      </c>
      <c r="D198" s="23" t="s">
        <v>366</v>
      </c>
      <c r="E198" s="31">
        <v>8</v>
      </c>
      <c r="F198" s="32" t="s">
        <v>258</v>
      </c>
      <c r="G198" s="25" t="s">
        <v>367</v>
      </c>
    </row>
    <row r="199" spans="1:8" ht="13" x14ac:dyDescent="0.15">
      <c r="A199" s="1" t="s">
        <v>31</v>
      </c>
      <c r="B199" s="2" t="s">
        <v>20</v>
      </c>
      <c r="C199" s="23" t="s">
        <v>368</v>
      </c>
      <c r="D199" s="23" t="s">
        <v>368</v>
      </c>
      <c r="E199" s="31">
        <v>5</v>
      </c>
      <c r="F199" s="32" t="s">
        <v>369</v>
      </c>
      <c r="G199" s="27" t="s">
        <v>370</v>
      </c>
    </row>
    <row r="200" spans="1:8" ht="13" x14ac:dyDescent="0.15">
      <c r="C200" s="28" t="s">
        <v>187</v>
      </c>
      <c r="D200" s="28" t="s">
        <v>187</v>
      </c>
      <c r="E200" s="29">
        <f>SUM(E195:E199)</f>
        <v>24</v>
      </c>
    </row>
    <row r="201" spans="1:8" x14ac:dyDescent="0.15">
      <c r="C201" s="28"/>
      <c r="D201" s="28"/>
      <c r="E201" s="29"/>
    </row>
    <row r="202" spans="1:8" ht="26" x14ac:dyDescent="0.15">
      <c r="A202" s="20" t="s">
        <v>371</v>
      </c>
      <c r="B202" s="21"/>
      <c r="C202" s="36" t="s">
        <v>372</v>
      </c>
      <c r="D202" s="36" t="s">
        <v>372</v>
      </c>
      <c r="E202" s="10"/>
      <c r="G202" s="34" t="s">
        <v>190</v>
      </c>
    </row>
    <row r="203" spans="1:8" ht="13" x14ac:dyDescent="0.15">
      <c r="A203" s="1" t="s">
        <v>15</v>
      </c>
      <c r="B203" s="2" t="s">
        <v>20</v>
      </c>
      <c r="C203" s="9" t="s">
        <v>17</v>
      </c>
      <c r="D203" s="9" t="s">
        <v>17</v>
      </c>
      <c r="E203" s="10">
        <v>11</v>
      </c>
      <c r="F203" s="1" t="s">
        <v>18</v>
      </c>
      <c r="G203" s="5" t="s">
        <v>115</v>
      </c>
    </row>
    <row r="204" spans="1:8" ht="13" x14ac:dyDescent="0.15">
      <c r="A204" s="1" t="s">
        <v>19</v>
      </c>
      <c r="B204" s="2" t="s">
        <v>20</v>
      </c>
      <c r="C204" s="9" t="s">
        <v>117</v>
      </c>
      <c r="D204" s="9" t="s">
        <v>117</v>
      </c>
      <c r="E204" s="10">
        <v>6</v>
      </c>
      <c r="F204" s="1" t="s">
        <v>118</v>
      </c>
      <c r="G204" s="5" t="s">
        <v>192</v>
      </c>
    </row>
    <row r="205" spans="1:8" ht="26" x14ac:dyDescent="0.15">
      <c r="A205" s="1" t="s">
        <v>24</v>
      </c>
      <c r="B205" s="2" t="s">
        <v>20</v>
      </c>
      <c r="C205" s="9" t="s">
        <v>95</v>
      </c>
      <c r="D205" s="23" t="s">
        <v>96</v>
      </c>
      <c r="E205" s="10">
        <v>4</v>
      </c>
      <c r="F205" s="1" t="s">
        <v>373</v>
      </c>
      <c r="G205" s="24" t="s">
        <v>374</v>
      </c>
    </row>
    <row r="206" spans="1:8" ht="26" x14ac:dyDescent="0.15">
      <c r="A206" s="1" t="s">
        <v>28</v>
      </c>
      <c r="B206" s="2" t="s">
        <v>20</v>
      </c>
      <c r="C206" s="9" t="s">
        <v>375</v>
      </c>
      <c r="D206" s="9" t="s">
        <v>375</v>
      </c>
      <c r="E206" s="10">
        <v>9</v>
      </c>
      <c r="F206" s="1" t="s">
        <v>376</v>
      </c>
      <c r="G206" s="5" t="s">
        <v>377</v>
      </c>
    </row>
    <row r="207" spans="1:8" ht="26" x14ac:dyDescent="0.15">
      <c r="A207" s="1" t="s">
        <v>31</v>
      </c>
      <c r="B207" s="2" t="s">
        <v>20</v>
      </c>
      <c r="C207" s="9" t="s">
        <v>378</v>
      </c>
      <c r="D207" s="9" t="s">
        <v>378</v>
      </c>
      <c r="E207" s="10">
        <v>9</v>
      </c>
      <c r="F207" s="1" t="s">
        <v>379</v>
      </c>
      <c r="G207" s="5" t="s">
        <v>380</v>
      </c>
    </row>
    <row r="208" spans="1:8" ht="13" x14ac:dyDescent="0.15">
      <c r="A208" s="1" t="s">
        <v>35</v>
      </c>
      <c r="B208" s="2" t="s">
        <v>20</v>
      </c>
      <c r="C208" s="23" t="s">
        <v>381</v>
      </c>
      <c r="D208" s="23" t="s">
        <v>381</v>
      </c>
      <c r="E208" s="31">
        <v>9</v>
      </c>
      <c r="F208" s="32" t="s">
        <v>382</v>
      </c>
      <c r="G208" s="27" t="s">
        <v>383</v>
      </c>
    </row>
    <row r="209" spans="1:7" ht="13" x14ac:dyDescent="0.15">
      <c r="A209" s="1" t="s">
        <v>40</v>
      </c>
      <c r="B209" s="2" t="s">
        <v>20</v>
      </c>
      <c r="C209" s="9" t="s">
        <v>384</v>
      </c>
      <c r="D209" s="9" t="s">
        <v>384</v>
      </c>
      <c r="E209" s="10">
        <v>1</v>
      </c>
      <c r="F209" s="1" t="s">
        <v>385</v>
      </c>
      <c r="G209" s="5" t="s">
        <v>386</v>
      </c>
    </row>
    <row r="210" spans="1:7" ht="13" x14ac:dyDescent="0.15">
      <c r="A210" s="1" t="s">
        <v>45</v>
      </c>
      <c r="B210" s="2" t="s">
        <v>20</v>
      </c>
      <c r="C210" s="9" t="s">
        <v>387</v>
      </c>
      <c r="D210" s="9" t="s">
        <v>387</v>
      </c>
      <c r="E210" s="10">
        <v>11</v>
      </c>
      <c r="F210" s="1" t="s">
        <v>388</v>
      </c>
      <c r="G210" s="5" t="s">
        <v>389</v>
      </c>
    </row>
    <row r="211" spans="1:7" ht="13" x14ac:dyDescent="0.15">
      <c r="C211" s="28" t="s">
        <v>187</v>
      </c>
      <c r="D211" s="28" t="s">
        <v>187</v>
      </c>
      <c r="E211" s="29">
        <f>SUM(E203:E210)</f>
        <v>60</v>
      </c>
    </row>
    <row r="212" spans="1:7" x14ac:dyDescent="0.15">
      <c r="C212" s="28"/>
      <c r="D212" s="28"/>
      <c r="E212" s="29"/>
    </row>
    <row r="213" spans="1:7" ht="13" x14ac:dyDescent="0.15">
      <c r="A213" s="20" t="s">
        <v>390</v>
      </c>
      <c r="B213" s="21"/>
      <c r="C213" s="41" t="s">
        <v>391</v>
      </c>
      <c r="D213" s="41" t="s">
        <v>391</v>
      </c>
    </row>
    <row r="214" spans="1:7" ht="13" x14ac:dyDescent="0.15">
      <c r="A214" s="1" t="s">
        <v>15</v>
      </c>
      <c r="B214" s="2" t="s">
        <v>392</v>
      </c>
      <c r="C214" s="9" t="s">
        <v>73</v>
      </c>
      <c r="D214" s="9" t="s">
        <v>73</v>
      </c>
      <c r="E214" s="4">
        <v>8</v>
      </c>
      <c r="F214" s="1" t="s">
        <v>393</v>
      </c>
      <c r="G214" s="5" t="s">
        <v>256</v>
      </c>
    </row>
    <row r="215" spans="1:7" ht="13" x14ac:dyDescent="0.15">
      <c r="A215" s="1" t="s">
        <v>19</v>
      </c>
      <c r="B215" s="2" t="s">
        <v>20</v>
      </c>
      <c r="C215" s="9" t="s">
        <v>391</v>
      </c>
      <c r="D215" s="9" t="s">
        <v>391</v>
      </c>
      <c r="E215" s="4">
        <v>7</v>
      </c>
      <c r="F215" s="1" t="s">
        <v>394</v>
      </c>
      <c r="G215" s="5" t="s">
        <v>395</v>
      </c>
    </row>
    <row r="216" spans="1:7" ht="13" x14ac:dyDescent="0.15">
      <c r="A216" s="1" t="s">
        <v>24</v>
      </c>
      <c r="B216" s="2" t="s">
        <v>20</v>
      </c>
      <c r="C216" s="9" t="s">
        <v>17</v>
      </c>
      <c r="D216" s="9" t="s">
        <v>17</v>
      </c>
      <c r="E216" s="4">
        <v>11</v>
      </c>
      <c r="F216" s="1" t="s">
        <v>396</v>
      </c>
      <c r="G216" s="5" t="s">
        <v>115</v>
      </c>
    </row>
    <row r="217" spans="1:7" ht="13" x14ac:dyDescent="0.15">
      <c r="A217" s="4"/>
      <c r="B217" s="19"/>
      <c r="C217" s="42" t="s">
        <v>187</v>
      </c>
      <c r="D217" s="42" t="s">
        <v>187</v>
      </c>
      <c r="E217" s="40">
        <f>SUM(E214:E216)</f>
        <v>26</v>
      </c>
      <c r="F217" s="4"/>
      <c r="G217" s="3"/>
    </row>
    <row r="218" spans="1:7" x14ac:dyDescent="0.15">
      <c r="A218" s="4"/>
      <c r="B218" s="19"/>
      <c r="F218" s="4"/>
      <c r="G218" s="3"/>
    </row>
    <row r="219" spans="1:7" ht="13" x14ac:dyDescent="0.15">
      <c r="A219" s="20" t="s">
        <v>397</v>
      </c>
      <c r="B219" s="21"/>
      <c r="C219" s="41" t="s">
        <v>398</v>
      </c>
      <c r="D219" s="41" t="s">
        <v>398</v>
      </c>
    </row>
    <row r="220" spans="1:7" ht="13" x14ac:dyDescent="0.15">
      <c r="A220" s="1" t="s">
        <v>15</v>
      </c>
      <c r="B220" s="2" t="s">
        <v>399</v>
      </c>
      <c r="C220" s="9" t="s">
        <v>391</v>
      </c>
      <c r="D220" s="9" t="s">
        <v>391</v>
      </c>
      <c r="E220" s="4">
        <v>7</v>
      </c>
      <c r="F220" s="1" t="s">
        <v>349</v>
      </c>
      <c r="G220" s="5" t="s">
        <v>400</v>
      </c>
    </row>
    <row r="221" spans="1:7" ht="13" x14ac:dyDescent="0.15">
      <c r="A221" s="1" t="s">
        <v>19</v>
      </c>
      <c r="B221" s="2" t="s">
        <v>268</v>
      </c>
      <c r="C221" s="9" t="s">
        <v>401</v>
      </c>
      <c r="D221" s="9" t="s">
        <v>401</v>
      </c>
      <c r="E221" s="4">
        <v>78</v>
      </c>
      <c r="F221" s="1" t="s">
        <v>402</v>
      </c>
      <c r="G221" s="5" t="s">
        <v>403</v>
      </c>
    </row>
    <row r="222" spans="1:7" ht="13" x14ac:dyDescent="0.15">
      <c r="A222" s="1" t="s">
        <v>24</v>
      </c>
      <c r="B222" s="2" t="s">
        <v>20</v>
      </c>
      <c r="C222" s="9" t="s">
        <v>404</v>
      </c>
      <c r="D222" s="9" t="s">
        <v>404</v>
      </c>
      <c r="E222" s="4">
        <v>26</v>
      </c>
      <c r="F222" s="1" t="s">
        <v>405</v>
      </c>
    </row>
    <row r="223" spans="1:7" ht="13" x14ac:dyDescent="0.15">
      <c r="A223" s="1" t="s">
        <v>28</v>
      </c>
      <c r="B223" s="2" t="s">
        <v>20</v>
      </c>
      <c r="C223" s="9" t="s">
        <v>406</v>
      </c>
      <c r="D223" s="9" t="s">
        <v>406</v>
      </c>
      <c r="E223" s="4">
        <v>26</v>
      </c>
      <c r="F223" s="1" t="s">
        <v>407</v>
      </c>
    </row>
    <row r="224" spans="1:7" ht="13" x14ac:dyDescent="0.15">
      <c r="A224" s="1" t="s">
        <v>31</v>
      </c>
      <c r="B224" s="2" t="s">
        <v>20</v>
      </c>
      <c r="C224" s="9" t="s">
        <v>408</v>
      </c>
      <c r="D224" s="9" t="s">
        <v>408</v>
      </c>
      <c r="E224" s="4">
        <v>26</v>
      </c>
      <c r="F224" s="1" t="s">
        <v>409</v>
      </c>
    </row>
    <row r="225" spans="1:7" ht="26" x14ac:dyDescent="0.15">
      <c r="A225" s="1" t="s">
        <v>35</v>
      </c>
      <c r="C225" s="9" t="s">
        <v>410</v>
      </c>
      <c r="D225" s="9" t="s">
        <v>410</v>
      </c>
      <c r="E225" s="4">
        <v>1</v>
      </c>
      <c r="F225" s="1" t="s">
        <v>101</v>
      </c>
      <c r="G225" s="5" t="s">
        <v>411</v>
      </c>
    </row>
    <row r="226" spans="1:7" ht="13" x14ac:dyDescent="0.15">
      <c r="A226" s="4"/>
      <c r="B226" s="19"/>
      <c r="C226" s="42" t="s">
        <v>187</v>
      </c>
      <c r="D226" s="42" t="s">
        <v>187</v>
      </c>
      <c r="E226" s="40">
        <f>SUM(E220:E225)</f>
        <v>164</v>
      </c>
      <c r="F226" s="4"/>
      <c r="G226" s="3"/>
    </row>
    <row r="227" spans="1:7" x14ac:dyDescent="0.15">
      <c r="A227" s="4"/>
      <c r="B227" s="19"/>
      <c r="F227" s="4"/>
      <c r="G227" s="3"/>
    </row>
    <row r="228" spans="1:7" ht="13" x14ac:dyDescent="0.15">
      <c r="A228" s="20" t="s">
        <v>412</v>
      </c>
      <c r="B228" s="21"/>
      <c r="C228" s="41" t="s">
        <v>413</v>
      </c>
      <c r="D228" s="41" t="s">
        <v>413</v>
      </c>
    </row>
    <row r="229" spans="1:7" ht="13" x14ac:dyDescent="0.15">
      <c r="A229" s="1" t="s">
        <v>15</v>
      </c>
      <c r="B229" s="2" t="s">
        <v>414</v>
      </c>
      <c r="C229" s="9" t="s">
        <v>17</v>
      </c>
      <c r="D229" s="9" t="s">
        <v>17</v>
      </c>
      <c r="E229" s="4">
        <v>11</v>
      </c>
      <c r="F229" s="1" t="s">
        <v>18</v>
      </c>
      <c r="G229" s="5" t="s">
        <v>256</v>
      </c>
    </row>
    <row r="230" spans="1:7" ht="13" x14ac:dyDescent="0.15">
      <c r="A230" s="1" t="s">
        <v>19</v>
      </c>
      <c r="B230" s="2" t="s">
        <v>20</v>
      </c>
      <c r="C230" s="9" t="s">
        <v>413</v>
      </c>
      <c r="D230" s="9" t="s">
        <v>415</v>
      </c>
      <c r="E230" s="4">
        <v>7</v>
      </c>
      <c r="F230" s="1" t="s">
        <v>416</v>
      </c>
      <c r="G230" s="5" t="s">
        <v>417</v>
      </c>
    </row>
    <row r="231" spans="1:7" ht="13" x14ac:dyDescent="0.15">
      <c r="A231" s="4"/>
      <c r="B231" s="19"/>
      <c r="C231" s="42" t="s">
        <v>187</v>
      </c>
      <c r="D231" s="42" t="s">
        <v>187</v>
      </c>
      <c r="E231" s="40">
        <v>18</v>
      </c>
      <c r="F231" s="4"/>
      <c r="G231" s="3"/>
    </row>
    <row r="232" spans="1:7" x14ac:dyDescent="0.15">
      <c r="A232" s="4"/>
      <c r="B232" s="19"/>
      <c r="F232" s="4"/>
      <c r="G232" s="3"/>
    </row>
    <row r="233" spans="1:7" ht="13" x14ac:dyDescent="0.15">
      <c r="A233" s="20" t="s">
        <v>418</v>
      </c>
      <c r="B233" s="21"/>
      <c r="C233" s="41" t="s">
        <v>419</v>
      </c>
      <c r="D233" s="41" t="s">
        <v>419</v>
      </c>
    </row>
    <row r="234" spans="1:7" ht="13" x14ac:dyDescent="0.15">
      <c r="A234" s="1" t="s">
        <v>15</v>
      </c>
      <c r="B234" s="2" t="s">
        <v>414</v>
      </c>
      <c r="C234" s="9" t="s">
        <v>413</v>
      </c>
      <c r="D234" s="9" t="s">
        <v>415</v>
      </c>
      <c r="E234" s="4">
        <v>7</v>
      </c>
      <c r="F234" s="1" t="s">
        <v>349</v>
      </c>
      <c r="G234" s="5" t="s">
        <v>420</v>
      </c>
    </row>
    <row r="235" spans="1:7" ht="13" x14ac:dyDescent="0.15">
      <c r="A235" s="1" t="s">
        <v>19</v>
      </c>
      <c r="B235" s="2" t="s">
        <v>20</v>
      </c>
      <c r="C235" s="9" t="s">
        <v>421</v>
      </c>
      <c r="D235" s="9" t="s">
        <v>422</v>
      </c>
      <c r="E235" s="4">
        <v>10</v>
      </c>
      <c r="F235" s="1" t="s">
        <v>423</v>
      </c>
    </row>
    <row r="236" spans="1:7" ht="13" x14ac:dyDescent="0.15">
      <c r="A236" s="1" t="s">
        <v>24</v>
      </c>
      <c r="B236" s="2" t="s">
        <v>20</v>
      </c>
      <c r="C236" s="9" t="s">
        <v>424</v>
      </c>
      <c r="D236" s="9" t="s">
        <v>425</v>
      </c>
      <c r="E236" s="4">
        <v>78</v>
      </c>
      <c r="F236" s="1" t="s">
        <v>426</v>
      </c>
      <c r="G236" s="5" t="s">
        <v>427</v>
      </c>
    </row>
    <row r="237" spans="1:7" ht="13" x14ac:dyDescent="0.15">
      <c r="A237" s="1" t="s">
        <v>28</v>
      </c>
      <c r="B237" s="2" t="s">
        <v>20</v>
      </c>
      <c r="C237" s="9" t="s">
        <v>428</v>
      </c>
      <c r="D237" s="9" t="s">
        <v>428</v>
      </c>
      <c r="E237" s="4">
        <v>9</v>
      </c>
      <c r="F237" s="1" t="s">
        <v>429</v>
      </c>
    </row>
    <row r="238" spans="1:7" ht="13" x14ac:dyDescent="0.15">
      <c r="A238" s="1" t="s">
        <v>31</v>
      </c>
      <c r="B238" s="2" t="s">
        <v>20</v>
      </c>
      <c r="C238" s="9" t="s">
        <v>430</v>
      </c>
      <c r="D238" s="9" t="s">
        <v>431</v>
      </c>
      <c r="E238" s="4">
        <v>26</v>
      </c>
      <c r="F238" s="1" t="s">
        <v>432</v>
      </c>
    </row>
    <row r="239" spans="1:7" ht="13" x14ac:dyDescent="0.15">
      <c r="A239" s="1" t="s">
        <v>35</v>
      </c>
      <c r="B239" s="2" t="s">
        <v>20</v>
      </c>
      <c r="C239" s="9" t="s">
        <v>433</v>
      </c>
      <c r="D239" s="9" t="s">
        <v>434</v>
      </c>
      <c r="E239" s="4">
        <v>26</v>
      </c>
      <c r="F239" s="1" t="s">
        <v>435</v>
      </c>
    </row>
    <row r="240" spans="1:7" ht="13" x14ac:dyDescent="0.15">
      <c r="A240" s="1" t="s">
        <v>40</v>
      </c>
      <c r="B240" s="2" t="s">
        <v>20</v>
      </c>
      <c r="C240" s="9" t="s">
        <v>436</v>
      </c>
      <c r="D240" s="9" t="s">
        <v>437</v>
      </c>
      <c r="E240" s="4">
        <v>26</v>
      </c>
      <c r="F240" s="1" t="s">
        <v>438</v>
      </c>
    </row>
    <row r="241" spans="1:7" ht="26" x14ac:dyDescent="0.15">
      <c r="A241" s="1" t="s">
        <v>45</v>
      </c>
      <c r="B241" s="2" t="s">
        <v>20</v>
      </c>
      <c r="C241" s="9" t="s">
        <v>410</v>
      </c>
      <c r="D241" s="9" t="s">
        <v>410</v>
      </c>
      <c r="E241" s="4">
        <v>1</v>
      </c>
      <c r="F241" s="1" t="s">
        <v>439</v>
      </c>
      <c r="G241" s="5" t="s">
        <v>411</v>
      </c>
    </row>
    <row r="242" spans="1:7" ht="13" x14ac:dyDescent="0.15">
      <c r="A242" s="4"/>
      <c r="B242" s="19"/>
      <c r="C242" s="42" t="s">
        <v>187</v>
      </c>
      <c r="D242" s="42" t="s">
        <v>187</v>
      </c>
      <c r="E242" s="40">
        <f>SUM(E234:E241)</f>
        <v>183</v>
      </c>
      <c r="F242" s="4"/>
      <c r="G242" s="3"/>
    </row>
    <row r="243" spans="1:7" x14ac:dyDescent="0.15">
      <c r="A243" s="4"/>
      <c r="B243" s="19"/>
      <c r="C243" s="42"/>
      <c r="D243" s="42"/>
      <c r="E243" s="40"/>
      <c r="F243" s="4"/>
      <c r="G243" s="3"/>
    </row>
    <row r="244" spans="1:7" ht="13" x14ac:dyDescent="0.15">
      <c r="A244" s="20" t="s">
        <v>440</v>
      </c>
      <c r="B244" s="21"/>
      <c r="C244" s="41" t="s">
        <v>441</v>
      </c>
      <c r="D244" s="41" t="s">
        <v>441</v>
      </c>
    </row>
    <row r="245" spans="1:7" ht="13" x14ac:dyDescent="0.15">
      <c r="A245" s="1" t="s">
        <v>15</v>
      </c>
      <c r="B245" s="2" t="s">
        <v>20</v>
      </c>
      <c r="C245" s="9" t="s">
        <v>442</v>
      </c>
      <c r="D245" s="9" t="s">
        <v>442</v>
      </c>
      <c r="E245" s="4">
        <v>4</v>
      </c>
      <c r="F245" s="1" t="s">
        <v>218</v>
      </c>
    </row>
    <row r="246" spans="1:7" ht="13" x14ac:dyDescent="0.15">
      <c r="A246" s="1" t="s">
        <v>19</v>
      </c>
      <c r="B246" s="2" t="s">
        <v>20</v>
      </c>
      <c r="C246" s="9" t="s">
        <v>17</v>
      </c>
      <c r="D246" s="9" t="s">
        <v>17</v>
      </c>
      <c r="E246" s="4">
        <v>11</v>
      </c>
      <c r="F246" s="1" t="s">
        <v>443</v>
      </c>
      <c r="G246" s="5" t="s">
        <v>256</v>
      </c>
    </row>
    <row r="247" spans="1:7" ht="13" x14ac:dyDescent="0.15">
      <c r="A247" s="1" t="s">
        <v>24</v>
      </c>
      <c r="B247" s="2" t="s">
        <v>20</v>
      </c>
      <c r="C247" s="9" t="s">
        <v>117</v>
      </c>
      <c r="D247" s="9" t="s">
        <v>117</v>
      </c>
      <c r="E247" s="4">
        <v>6</v>
      </c>
      <c r="F247" s="1" t="s">
        <v>444</v>
      </c>
      <c r="G247" s="5" t="s">
        <v>242</v>
      </c>
    </row>
    <row r="248" spans="1:7" ht="26" x14ac:dyDescent="0.15">
      <c r="A248" s="1" t="s">
        <v>28</v>
      </c>
      <c r="B248" s="2" t="s">
        <v>20</v>
      </c>
      <c r="C248" s="9" t="s">
        <v>445</v>
      </c>
      <c r="D248" s="9" t="s">
        <v>445</v>
      </c>
      <c r="E248" s="4">
        <v>25</v>
      </c>
      <c r="F248" s="1" t="s">
        <v>446</v>
      </c>
      <c r="G248" s="5" t="s">
        <v>447</v>
      </c>
    </row>
    <row r="249" spans="1:7" ht="13" x14ac:dyDescent="0.15">
      <c r="A249" s="4"/>
      <c r="B249" s="19"/>
      <c r="C249" s="42" t="s">
        <v>187</v>
      </c>
      <c r="D249" s="42" t="s">
        <v>187</v>
      </c>
      <c r="E249" s="40">
        <f>SUM(E245:E248)</f>
        <v>46</v>
      </c>
      <c r="F249" s="4"/>
      <c r="G249" s="3"/>
    </row>
    <row r="250" spans="1:7" x14ac:dyDescent="0.15">
      <c r="A250" s="4"/>
      <c r="B250" s="19"/>
      <c r="C250" s="42"/>
      <c r="D250" s="42"/>
      <c r="E250" s="40"/>
      <c r="F250" s="4"/>
      <c r="G250" s="3"/>
    </row>
    <row r="251" spans="1:7" ht="13" x14ac:dyDescent="0.15">
      <c r="A251" s="20" t="s">
        <v>448</v>
      </c>
      <c r="B251" s="21"/>
      <c r="C251" s="41" t="s">
        <v>449</v>
      </c>
      <c r="D251" s="41" t="s">
        <v>449</v>
      </c>
    </row>
    <row r="252" spans="1:7" ht="13" x14ac:dyDescent="0.15">
      <c r="A252" s="1" t="s">
        <v>15</v>
      </c>
      <c r="B252" s="2" t="s">
        <v>114</v>
      </c>
      <c r="C252" s="9" t="s">
        <v>17</v>
      </c>
      <c r="D252" s="9" t="s">
        <v>17</v>
      </c>
      <c r="E252" s="4">
        <v>11</v>
      </c>
      <c r="F252" s="1" t="s">
        <v>18</v>
      </c>
      <c r="G252" s="5" t="s">
        <v>256</v>
      </c>
    </row>
    <row r="253" spans="1:7" ht="13" x14ac:dyDescent="0.15">
      <c r="A253" s="1" t="s">
        <v>19</v>
      </c>
      <c r="B253" s="2" t="s">
        <v>450</v>
      </c>
      <c r="C253" s="9" t="s">
        <v>117</v>
      </c>
      <c r="D253" s="9" t="s">
        <v>117</v>
      </c>
      <c r="E253" s="4">
        <v>6</v>
      </c>
      <c r="F253" s="1" t="s">
        <v>118</v>
      </c>
      <c r="G253" s="5" t="s">
        <v>242</v>
      </c>
    </row>
    <row r="254" spans="1:7" ht="13" x14ac:dyDescent="0.15">
      <c r="A254" s="1" t="s">
        <v>24</v>
      </c>
      <c r="B254" s="2" t="s">
        <v>20</v>
      </c>
      <c r="C254" s="9" t="s">
        <v>451</v>
      </c>
      <c r="D254" s="9" t="s">
        <v>451</v>
      </c>
      <c r="E254" s="4">
        <v>100</v>
      </c>
      <c r="F254" s="1" t="s">
        <v>452</v>
      </c>
    </row>
    <row r="255" spans="1:7" ht="13" x14ac:dyDescent="0.15">
      <c r="A255" s="1" t="s">
        <v>28</v>
      </c>
      <c r="B255" s="2" t="s">
        <v>20</v>
      </c>
      <c r="C255" s="9" t="s">
        <v>453</v>
      </c>
      <c r="D255" s="9" t="s">
        <v>453</v>
      </c>
      <c r="E255" s="4">
        <v>100</v>
      </c>
      <c r="F255" s="1" t="s">
        <v>454</v>
      </c>
    </row>
    <row r="256" spans="1:7" ht="13" x14ac:dyDescent="0.15">
      <c r="A256" s="1" t="s">
        <v>31</v>
      </c>
      <c r="B256" s="2" t="s">
        <v>46</v>
      </c>
      <c r="C256" s="9" t="s">
        <v>455</v>
      </c>
      <c r="D256" s="9" t="s">
        <v>455</v>
      </c>
      <c r="E256" s="4">
        <v>150</v>
      </c>
      <c r="F256" s="1" t="s">
        <v>456</v>
      </c>
      <c r="G256" s="5" t="s">
        <v>457</v>
      </c>
    </row>
    <row r="257" spans="1:7" ht="13" x14ac:dyDescent="0.15">
      <c r="A257" s="4"/>
      <c r="B257" s="19"/>
      <c r="C257" s="42" t="s">
        <v>187</v>
      </c>
      <c r="D257" s="42" t="s">
        <v>187</v>
      </c>
      <c r="E257" s="40">
        <f>SUM(E252:E256)</f>
        <v>367</v>
      </c>
      <c r="F257" s="4"/>
      <c r="G257" s="3"/>
    </row>
    <row r="258" spans="1:7" x14ac:dyDescent="0.15">
      <c r="A258" s="4"/>
      <c r="B258" s="19"/>
      <c r="C258" s="42"/>
      <c r="D258" s="42"/>
      <c r="E258" s="40"/>
      <c r="F258" s="4"/>
      <c r="G258" s="3"/>
    </row>
    <row r="259" spans="1:7" ht="13" x14ac:dyDescent="0.15">
      <c r="A259" s="20" t="s">
        <v>458</v>
      </c>
      <c r="B259" s="21"/>
      <c r="C259" s="41" t="s">
        <v>459</v>
      </c>
      <c r="D259" s="41" t="s">
        <v>459</v>
      </c>
    </row>
    <row r="260" spans="1:7" ht="13" x14ac:dyDescent="0.15">
      <c r="A260" s="1" t="s">
        <v>15</v>
      </c>
      <c r="B260" s="2" t="s">
        <v>20</v>
      </c>
      <c r="C260" s="9" t="s">
        <v>17</v>
      </c>
      <c r="D260" s="9" t="s">
        <v>17</v>
      </c>
      <c r="E260" s="4">
        <v>11</v>
      </c>
      <c r="F260" s="1" t="s">
        <v>18</v>
      </c>
      <c r="G260" s="5" t="s">
        <v>256</v>
      </c>
    </row>
    <row r="261" spans="1:7" ht="13" x14ac:dyDescent="0.15">
      <c r="A261" s="1" t="s">
        <v>19</v>
      </c>
      <c r="B261" s="2" t="s">
        <v>20</v>
      </c>
      <c r="C261" s="9" t="s">
        <v>117</v>
      </c>
      <c r="D261" s="9" t="s">
        <v>117</v>
      </c>
      <c r="E261" s="4">
        <v>6</v>
      </c>
      <c r="F261" s="1" t="s">
        <v>118</v>
      </c>
      <c r="G261" s="5" t="s">
        <v>242</v>
      </c>
    </row>
    <row r="262" spans="1:7" ht="26" x14ac:dyDescent="0.15">
      <c r="A262" s="1" t="s">
        <v>24</v>
      </c>
      <c r="B262" s="2" t="s">
        <v>20</v>
      </c>
      <c r="C262" s="9" t="s">
        <v>460</v>
      </c>
      <c r="D262" s="9" t="s">
        <v>460</v>
      </c>
      <c r="E262" s="4">
        <v>9</v>
      </c>
      <c r="F262" s="1" t="s">
        <v>461</v>
      </c>
      <c r="G262" s="5" t="s">
        <v>462</v>
      </c>
    </row>
    <row r="263" spans="1:7" ht="13" x14ac:dyDescent="0.15">
      <c r="A263" s="1" t="s">
        <v>28</v>
      </c>
      <c r="B263" s="2" t="s">
        <v>20</v>
      </c>
      <c r="C263" s="9" t="s">
        <v>463</v>
      </c>
      <c r="D263" s="9" t="s">
        <v>463</v>
      </c>
      <c r="E263" s="4">
        <v>9</v>
      </c>
      <c r="F263" s="1" t="s">
        <v>464</v>
      </c>
      <c r="G263" s="5" t="s">
        <v>465</v>
      </c>
    </row>
    <row r="264" spans="1:7" ht="26" x14ac:dyDescent="0.15">
      <c r="A264" s="1" t="s">
        <v>31</v>
      </c>
      <c r="B264" s="2" t="s">
        <v>20</v>
      </c>
      <c r="C264" s="9" t="s">
        <v>466</v>
      </c>
      <c r="D264" s="9" t="s">
        <v>466</v>
      </c>
      <c r="E264" s="4">
        <v>1</v>
      </c>
      <c r="F264" s="1" t="s">
        <v>467</v>
      </c>
      <c r="G264" s="5" t="s">
        <v>468</v>
      </c>
    </row>
    <row r="265" spans="1:7" ht="13" x14ac:dyDescent="0.15">
      <c r="A265" s="4"/>
      <c r="B265" s="19"/>
      <c r="C265" s="42" t="s">
        <v>187</v>
      </c>
      <c r="D265" s="42" t="s">
        <v>187</v>
      </c>
      <c r="E265" s="40">
        <f>SUM(E260:E264)</f>
        <v>36</v>
      </c>
      <c r="F265" s="4"/>
      <c r="G265" s="3"/>
    </row>
    <row r="266" spans="1:7" x14ac:dyDescent="0.15">
      <c r="A266" s="4"/>
      <c r="B266" s="19"/>
      <c r="C266" s="42"/>
      <c r="D266" s="42"/>
      <c r="E266" s="40"/>
      <c r="F266" s="4"/>
      <c r="G266" s="3"/>
    </row>
    <row r="267" spans="1:7" ht="13" x14ac:dyDescent="0.15">
      <c r="A267" s="20" t="s">
        <v>469</v>
      </c>
      <c r="B267" s="21"/>
      <c r="C267" s="41" t="s">
        <v>470</v>
      </c>
      <c r="D267" s="41" t="s">
        <v>470</v>
      </c>
      <c r="E267" s="40"/>
      <c r="F267" s="4"/>
      <c r="G267" s="3"/>
    </row>
    <row r="268" spans="1:7" ht="13" x14ac:dyDescent="0.15">
      <c r="A268" s="1" t="s">
        <v>15</v>
      </c>
      <c r="B268" s="2" t="s">
        <v>20</v>
      </c>
      <c r="C268" s="3" t="s">
        <v>471</v>
      </c>
      <c r="D268" s="3" t="s">
        <v>471</v>
      </c>
      <c r="E268" s="4">
        <v>6</v>
      </c>
      <c r="F268" s="1" t="s">
        <v>191</v>
      </c>
      <c r="G268" s="3" t="s">
        <v>472</v>
      </c>
    </row>
    <row r="269" spans="1:7" ht="26" x14ac:dyDescent="0.15">
      <c r="A269" s="1" t="s">
        <v>19</v>
      </c>
      <c r="B269" s="2" t="s">
        <v>20</v>
      </c>
      <c r="C269" s="3" t="s">
        <v>473</v>
      </c>
      <c r="D269" s="3" t="s">
        <v>473</v>
      </c>
      <c r="E269" s="4">
        <v>6</v>
      </c>
      <c r="F269" s="1" t="s">
        <v>474</v>
      </c>
      <c r="G269" s="3" t="s">
        <v>475</v>
      </c>
    </row>
    <row r="270" spans="1:7" ht="13" x14ac:dyDescent="0.15">
      <c r="A270" s="1" t="s">
        <v>24</v>
      </c>
      <c r="B270" s="2" t="s">
        <v>20</v>
      </c>
      <c r="C270" s="3" t="s">
        <v>476</v>
      </c>
      <c r="D270" s="3" t="s">
        <v>476</v>
      </c>
      <c r="E270" s="4">
        <v>6</v>
      </c>
      <c r="F270" s="1" t="s">
        <v>477</v>
      </c>
      <c r="G270" s="3" t="s">
        <v>478</v>
      </c>
    </row>
    <row r="271" spans="1:7" ht="13" x14ac:dyDescent="0.15">
      <c r="A271" s="1" t="s">
        <v>28</v>
      </c>
      <c r="B271" s="2" t="s">
        <v>20</v>
      </c>
      <c r="C271" s="3" t="s">
        <v>479</v>
      </c>
      <c r="D271" s="3" t="s">
        <v>479</v>
      </c>
      <c r="E271" s="4">
        <v>2</v>
      </c>
      <c r="F271" s="1" t="s">
        <v>480</v>
      </c>
      <c r="G271" s="3" t="s">
        <v>481</v>
      </c>
    </row>
    <row r="272" spans="1:7" ht="26" x14ac:dyDescent="0.15">
      <c r="A272" s="1" t="s">
        <v>31</v>
      </c>
      <c r="B272" s="2" t="s">
        <v>20</v>
      </c>
      <c r="C272" s="3" t="s">
        <v>482</v>
      </c>
      <c r="D272" s="3" t="s">
        <v>482</v>
      </c>
      <c r="E272" s="4">
        <v>9</v>
      </c>
      <c r="F272" s="1" t="s">
        <v>483</v>
      </c>
      <c r="G272" s="3" t="s">
        <v>484</v>
      </c>
    </row>
    <row r="273" spans="1:7" ht="26" x14ac:dyDescent="0.15">
      <c r="A273" s="1" t="s">
        <v>35</v>
      </c>
      <c r="B273" s="2" t="s">
        <v>20</v>
      </c>
      <c r="C273" s="3" t="s">
        <v>485</v>
      </c>
      <c r="D273" s="3" t="s">
        <v>485</v>
      </c>
      <c r="E273" s="4">
        <v>1</v>
      </c>
      <c r="F273" s="1" t="s">
        <v>486</v>
      </c>
      <c r="G273" s="3" t="s">
        <v>487</v>
      </c>
    </row>
    <row r="274" spans="1:7" ht="13" x14ac:dyDescent="0.15">
      <c r="C274" s="42" t="s">
        <v>187</v>
      </c>
      <c r="D274" s="42" t="s">
        <v>187</v>
      </c>
      <c r="E274" s="40">
        <f>SUM(E268:E273)</f>
        <v>30</v>
      </c>
      <c r="F274" s="4"/>
      <c r="G274" s="3"/>
    </row>
    <row r="275" spans="1:7" x14ac:dyDescent="0.15">
      <c r="A275" s="4"/>
      <c r="B275" s="19"/>
      <c r="C275" s="42"/>
      <c r="D275" s="42"/>
      <c r="E275" s="40"/>
      <c r="F275" s="4"/>
      <c r="G275" s="3"/>
    </row>
    <row r="276" spans="1:7" ht="28" x14ac:dyDescent="0.15">
      <c r="A276" s="20" t="s">
        <v>488</v>
      </c>
      <c r="B276" s="21"/>
      <c r="C276" s="41" t="s">
        <v>489</v>
      </c>
      <c r="D276" s="41" t="s">
        <v>489</v>
      </c>
      <c r="E276" s="40"/>
      <c r="F276" s="4"/>
      <c r="G276" s="43" t="s">
        <v>490</v>
      </c>
    </row>
    <row r="277" spans="1:7" ht="13" x14ac:dyDescent="0.15">
      <c r="A277" s="1" t="s">
        <v>15</v>
      </c>
      <c r="B277" s="2" t="s">
        <v>20</v>
      </c>
      <c r="C277" s="3" t="s">
        <v>471</v>
      </c>
      <c r="D277" s="3" t="s">
        <v>471</v>
      </c>
      <c r="E277" s="4">
        <v>6</v>
      </c>
      <c r="F277" s="1" t="s">
        <v>191</v>
      </c>
      <c r="G277" s="3" t="s">
        <v>472</v>
      </c>
    </row>
    <row r="278" spans="1:7" ht="26" x14ac:dyDescent="0.15">
      <c r="A278" s="1" t="s">
        <v>19</v>
      </c>
      <c r="B278" s="2" t="s">
        <v>20</v>
      </c>
      <c r="C278" s="3" t="s">
        <v>473</v>
      </c>
      <c r="D278" s="3" t="s">
        <v>473</v>
      </c>
      <c r="E278" s="4">
        <v>6</v>
      </c>
      <c r="F278" s="1" t="s">
        <v>474</v>
      </c>
      <c r="G278" s="3" t="s">
        <v>475</v>
      </c>
    </row>
    <row r="279" spans="1:7" ht="13" x14ac:dyDescent="0.15">
      <c r="A279" s="1" t="s">
        <v>24</v>
      </c>
      <c r="B279" s="2" t="s">
        <v>20</v>
      </c>
      <c r="C279" s="3" t="s">
        <v>476</v>
      </c>
      <c r="D279" s="3" t="s">
        <v>476</v>
      </c>
      <c r="E279" s="4">
        <v>6</v>
      </c>
      <c r="F279" s="1" t="s">
        <v>477</v>
      </c>
      <c r="G279" s="3" t="s">
        <v>478</v>
      </c>
    </row>
    <row r="280" spans="1:7" ht="13" x14ac:dyDescent="0.15">
      <c r="A280" s="1" t="s">
        <v>28</v>
      </c>
      <c r="B280" s="2" t="s">
        <v>20</v>
      </c>
      <c r="C280" s="3" t="s">
        <v>479</v>
      </c>
      <c r="D280" s="3" t="s">
        <v>479</v>
      </c>
      <c r="E280" s="4">
        <v>2</v>
      </c>
      <c r="F280" s="1" t="s">
        <v>480</v>
      </c>
      <c r="G280" s="3" t="s">
        <v>481</v>
      </c>
    </row>
    <row r="281" spans="1:7" ht="13" x14ac:dyDescent="0.15">
      <c r="A281" s="1" t="s">
        <v>31</v>
      </c>
      <c r="B281" s="2" t="s">
        <v>20</v>
      </c>
      <c r="C281" s="3" t="s">
        <v>201</v>
      </c>
      <c r="D281" s="3" t="s">
        <v>201</v>
      </c>
      <c r="E281" s="4">
        <v>9</v>
      </c>
      <c r="F281" s="1" t="s">
        <v>483</v>
      </c>
      <c r="G281" s="3" t="s">
        <v>203</v>
      </c>
    </row>
    <row r="282" spans="1:7" ht="26" x14ac:dyDescent="0.15">
      <c r="A282" s="1" t="s">
        <v>35</v>
      </c>
      <c r="B282" s="2" t="s">
        <v>20</v>
      </c>
      <c r="C282" s="3" t="s">
        <v>485</v>
      </c>
      <c r="D282" s="3" t="s">
        <v>485</v>
      </c>
      <c r="E282" s="4">
        <v>1</v>
      </c>
      <c r="F282" s="1" t="s">
        <v>486</v>
      </c>
      <c r="G282" s="3" t="s">
        <v>487</v>
      </c>
    </row>
    <row r="283" spans="1:7" ht="13" x14ac:dyDescent="0.15">
      <c r="C283" s="42" t="s">
        <v>187</v>
      </c>
      <c r="D283" s="42" t="s">
        <v>187</v>
      </c>
      <c r="E283" s="40">
        <f>SUM(E277:E282)</f>
        <v>30</v>
      </c>
      <c r="F283" s="4"/>
      <c r="G283" s="3"/>
    </row>
    <row r="284" spans="1:7" x14ac:dyDescent="0.15">
      <c r="A284" s="4"/>
      <c r="B284" s="19"/>
      <c r="C284" s="42"/>
      <c r="D284" s="42"/>
      <c r="E284" s="40"/>
      <c r="F284" s="4"/>
      <c r="G284" s="3"/>
    </row>
    <row r="285" spans="1:7" ht="13" x14ac:dyDescent="0.15">
      <c r="A285" s="20" t="s">
        <v>491</v>
      </c>
      <c r="B285" s="21"/>
      <c r="C285" s="41" t="s">
        <v>492</v>
      </c>
      <c r="D285" s="41" t="s">
        <v>492</v>
      </c>
      <c r="E285" s="40"/>
      <c r="F285" s="4"/>
      <c r="G285" s="3"/>
    </row>
    <row r="286" spans="1:7" ht="13" x14ac:dyDescent="0.15">
      <c r="A286" s="1" t="s">
        <v>15</v>
      </c>
      <c r="B286" s="2" t="s">
        <v>20</v>
      </c>
      <c r="C286" s="9" t="s">
        <v>17</v>
      </c>
      <c r="D286" s="9" t="s">
        <v>17</v>
      </c>
      <c r="E286" s="10">
        <v>11</v>
      </c>
      <c r="F286" s="1" t="s">
        <v>18</v>
      </c>
      <c r="G286" s="24" t="s">
        <v>115</v>
      </c>
    </row>
    <row r="287" spans="1:7" ht="13" x14ac:dyDescent="0.15">
      <c r="A287" s="1" t="s">
        <v>19</v>
      </c>
      <c r="B287" s="2" t="s">
        <v>20</v>
      </c>
      <c r="C287" s="9" t="s">
        <v>117</v>
      </c>
      <c r="D287" s="9" t="s">
        <v>117</v>
      </c>
      <c r="E287" s="10">
        <v>6</v>
      </c>
      <c r="F287" s="1" t="s">
        <v>118</v>
      </c>
      <c r="G287" s="5" t="s">
        <v>192</v>
      </c>
    </row>
    <row r="288" spans="1:7" ht="26" x14ac:dyDescent="0.15">
      <c r="A288" s="10" t="s">
        <v>24</v>
      </c>
      <c r="B288" s="44" t="s">
        <v>20</v>
      </c>
      <c r="C288" s="26" t="s">
        <v>493</v>
      </c>
      <c r="D288" s="45" t="s">
        <v>494</v>
      </c>
      <c r="E288" s="10">
        <v>1</v>
      </c>
      <c r="F288" s="10">
        <v>18</v>
      </c>
      <c r="G288" s="26" t="s">
        <v>495</v>
      </c>
    </row>
    <row r="289" spans="1:7" ht="26" x14ac:dyDescent="0.15">
      <c r="A289" s="10" t="s">
        <v>28</v>
      </c>
      <c r="B289" s="44" t="s">
        <v>20</v>
      </c>
      <c r="C289" s="26" t="s">
        <v>496</v>
      </c>
      <c r="D289" s="26" t="s">
        <v>496</v>
      </c>
      <c r="E289" s="10">
        <v>3</v>
      </c>
      <c r="F289" s="10" t="s">
        <v>497</v>
      </c>
      <c r="G289" s="5" t="s">
        <v>498</v>
      </c>
    </row>
    <row r="290" spans="1:7" ht="13" x14ac:dyDescent="0.15">
      <c r="C290" s="42" t="s">
        <v>187</v>
      </c>
      <c r="D290" s="42" t="s">
        <v>187</v>
      </c>
      <c r="E290" s="40">
        <f>SUM(E284:E289)</f>
        <v>21</v>
      </c>
      <c r="F290" s="4"/>
      <c r="G290" s="3"/>
    </row>
    <row r="291" spans="1:7" x14ac:dyDescent="0.15">
      <c r="A291" s="4"/>
      <c r="B291" s="19"/>
      <c r="C291" s="42"/>
      <c r="D291" s="42"/>
      <c r="E291" s="40"/>
      <c r="F291" s="4"/>
      <c r="G291" s="3"/>
    </row>
    <row r="292" spans="1:7" ht="13" x14ac:dyDescent="0.15">
      <c r="A292" s="20" t="s">
        <v>499</v>
      </c>
      <c r="B292" s="21"/>
      <c r="C292" s="41" t="s">
        <v>500</v>
      </c>
      <c r="D292" s="41" t="s">
        <v>500</v>
      </c>
      <c r="E292" s="40"/>
      <c r="F292" s="4"/>
      <c r="G292" s="3"/>
    </row>
    <row r="293" spans="1:7" ht="13" x14ac:dyDescent="0.15">
      <c r="A293" s="1" t="s">
        <v>15</v>
      </c>
      <c r="B293" s="2" t="s">
        <v>20</v>
      </c>
      <c r="C293" s="26" t="s">
        <v>496</v>
      </c>
      <c r="D293" s="26" t="s">
        <v>496</v>
      </c>
      <c r="E293" s="10">
        <v>3</v>
      </c>
      <c r="F293" s="1" t="s">
        <v>501</v>
      </c>
      <c r="G293" s="24" t="s">
        <v>502</v>
      </c>
    </row>
    <row r="294" spans="1:7" ht="26" x14ac:dyDescent="0.15">
      <c r="A294" s="1" t="s">
        <v>19</v>
      </c>
      <c r="B294" s="2" t="s">
        <v>20</v>
      </c>
      <c r="C294" s="26" t="s">
        <v>503</v>
      </c>
      <c r="D294" s="26" t="s">
        <v>503</v>
      </c>
      <c r="E294" s="10">
        <v>2000</v>
      </c>
      <c r="F294" s="1" t="s">
        <v>504</v>
      </c>
      <c r="G294" s="24" t="s">
        <v>505</v>
      </c>
    </row>
    <row r="295" spans="1:7" ht="13" x14ac:dyDescent="0.15">
      <c r="C295" s="42" t="s">
        <v>187</v>
      </c>
      <c r="D295" s="42" t="s">
        <v>187</v>
      </c>
      <c r="E295" s="40">
        <f>SUM(E293:E294)</f>
        <v>2003</v>
      </c>
      <c r="F295" s="4"/>
      <c r="G295" s="3"/>
    </row>
    <row r="296" spans="1:7" x14ac:dyDescent="0.15">
      <c r="A296" s="4"/>
      <c r="B296" s="19"/>
      <c r="C296" s="42"/>
      <c r="D296" s="42"/>
      <c r="E296" s="40"/>
      <c r="F296" s="4"/>
      <c r="G296" s="3"/>
    </row>
    <row r="297" spans="1:7" ht="13" x14ac:dyDescent="0.15">
      <c r="A297" s="20" t="s">
        <v>506</v>
      </c>
      <c r="B297" s="21"/>
      <c r="C297" s="41" t="s">
        <v>507</v>
      </c>
      <c r="D297" s="41" t="s">
        <v>507</v>
      </c>
    </row>
    <row r="298" spans="1:7" ht="13" x14ac:dyDescent="0.15">
      <c r="A298" s="1" t="s">
        <v>508</v>
      </c>
      <c r="B298" s="2" t="s">
        <v>20</v>
      </c>
      <c r="C298" s="3" t="s">
        <v>509</v>
      </c>
      <c r="D298" s="3" t="s">
        <v>509</v>
      </c>
      <c r="E298" s="4">
        <v>2</v>
      </c>
      <c r="F298" s="1" t="s">
        <v>264</v>
      </c>
      <c r="G298" s="5" t="s">
        <v>510</v>
      </c>
    </row>
    <row r="299" spans="1:7" ht="13" x14ac:dyDescent="0.15">
      <c r="A299" s="1" t="s">
        <v>15</v>
      </c>
      <c r="B299" s="2" t="s">
        <v>20</v>
      </c>
      <c r="C299" s="3" t="s">
        <v>511</v>
      </c>
      <c r="D299" s="3" t="s">
        <v>511</v>
      </c>
      <c r="E299" s="4">
        <v>5</v>
      </c>
      <c r="F299" s="1" t="s">
        <v>512</v>
      </c>
      <c r="G299" s="27" t="s">
        <v>513</v>
      </c>
    </row>
    <row r="300" spans="1:7" ht="13" x14ac:dyDescent="0.15">
      <c r="A300" s="1" t="s">
        <v>19</v>
      </c>
      <c r="B300" s="2" t="s">
        <v>20</v>
      </c>
      <c r="C300" s="3" t="s">
        <v>514</v>
      </c>
      <c r="D300" s="3" t="s">
        <v>514</v>
      </c>
      <c r="E300" s="4">
        <v>40</v>
      </c>
      <c r="F300" s="1" t="s">
        <v>515</v>
      </c>
      <c r="G300" s="5" t="s">
        <v>516</v>
      </c>
    </row>
    <row r="301" spans="1:7" ht="13" x14ac:dyDescent="0.15">
      <c r="A301" s="1" t="s">
        <v>24</v>
      </c>
      <c r="B301" s="2" t="s">
        <v>20</v>
      </c>
      <c r="C301" s="3" t="s">
        <v>517</v>
      </c>
      <c r="D301" s="3" t="s">
        <v>517</v>
      </c>
      <c r="E301" s="4">
        <v>8</v>
      </c>
      <c r="F301" s="1" t="s">
        <v>518</v>
      </c>
      <c r="G301" s="5" t="s">
        <v>107</v>
      </c>
    </row>
    <row r="302" spans="1:7" ht="26" x14ac:dyDescent="0.15">
      <c r="A302" s="1" t="s">
        <v>28</v>
      </c>
      <c r="B302" s="2" t="s">
        <v>20</v>
      </c>
      <c r="C302" s="3" t="s">
        <v>90</v>
      </c>
      <c r="D302" s="3" t="s">
        <v>90</v>
      </c>
      <c r="E302" s="4">
        <v>8</v>
      </c>
      <c r="F302" s="1" t="s">
        <v>519</v>
      </c>
      <c r="G302" s="3" t="s">
        <v>520</v>
      </c>
    </row>
    <row r="303" spans="1:7" ht="26" x14ac:dyDescent="0.15">
      <c r="A303" s="1" t="s">
        <v>31</v>
      </c>
      <c r="B303" s="2" t="s">
        <v>20</v>
      </c>
      <c r="C303" s="3" t="s">
        <v>90</v>
      </c>
      <c r="D303" s="3" t="s">
        <v>90</v>
      </c>
      <c r="E303" s="4">
        <v>8</v>
      </c>
      <c r="F303" s="1" t="s">
        <v>521</v>
      </c>
      <c r="G303" s="3" t="s">
        <v>522</v>
      </c>
    </row>
    <row r="304" spans="1:7" ht="13" x14ac:dyDescent="0.15">
      <c r="A304" s="1" t="s">
        <v>35</v>
      </c>
      <c r="B304" s="2" t="s">
        <v>20</v>
      </c>
      <c r="C304" s="3" t="s">
        <v>523</v>
      </c>
      <c r="D304" s="3" t="s">
        <v>523</v>
      </c>
      <c r="E304" s="4">
        <v>2</v>
      </c>
      <c r="F304" s="1" t="s">
        <v>524</v>
      </c>
      <c r="G304" s="5" t="s">
        <v>525</v>
      </c>
    </row>
    <row r="305" spans="1:7" ht="13" x14ac:dyDescent="0.15">
      <c r="A305" s="1" t="s">
        <v>40</v>
      </c>
      <c r="B305" s="2" t="s">
        <v>20</v>
      </c>
      <c r="C305" s="3" t="s">
        <v>526</v>
      </c>
      <c r="D305" s="3" t="s">
        <v>526</v>
      </c>
      <c r="E305" s="4">
        <v>2</v>
      </c>
      <c r="F305" s="1" t="s">
        <v>527</v>
      </c>
      <c r="G305" s="5" t="s">
        <v>528</v>
      </c>
    </row>
    <row r="306" spans="1:7" ht="13" x14ac:dyDescent="0.15">
      <c r="A306" s="1" t="s">
        <v>45</v>
      </c>
      <c r="B306" s="2" t="s">
        <v>20</v>
      </c>
      <c r="C306" s="3" t="s">
        <v>529</v>
      </c>
      <c r="D306" s="3" t="s">
        <v>529</v>
      </c>
      <c r="E306" s="4">
        <v>12</v>
      </c>
      <c r="F306" s="1" t="s">
        <v>530</v>
      </c>
      <c r="G306" s="24" t="s">
        <v>531</v>
      </c>
    </row>
    <row r="307" spans="1:7" ht="13" x14ac:dyDescent="0.15">
      <c r="A307" s="1" t="s">
        <v>50</v>
      </c>
      <c r="B307" s="2" t="s">
        <v>20</v>
      </c>
      <c r="C307" s="3" t="s">
        <v>532</v>
      </c>
      <c r="D307" s="3" t="s">
        <v>532</v>
      </c>
      <c r="E307" s="4">
        <v>6</v>
      </c>
      <c r="F307" s="1" t="s">
        <v>533</v>
      </c>
      <c r="G307" s="24" t="s">
        <v>534</v>
      </c>
    </row>
    <row r="308" spans="1:7" ht="13" x14ac:dyDescent="0.15">
      <c r="C308" s="28" t="s">
        <v>187</v>
      </c>
      <c r="D308" s="28" t="s">
        <v>187</v>
      </c>
      <c r="E308" s="40">
        <f>SUM(E298:E307)</f>
        <v>93</v>
      </c>
    </row>
    <row r="310" spans="1:7" ht="13" x14ac:dyDescent="0.15">
      <c r="A310" s="1" t="s">
        <v>508</v>
      </c>
      <c r="B310" s="2" t="s">
        <v>20</v>
      </c>
      <c r="C310" s="3" t="s">
        <v>509</v>
      </c>
      <c r="D310" s="3" t="s">
        <v>509</v>
      </c>
      <c r="E310" s="4">
        <v>2</v>
      </c>
      <c r="F310" s="1" t="s">
        <v>264</v>
      </c>
      <c r="G310" s="5" t="s">
        <v>535</v>
      </c>
    </row>
    <row r="311" spans="1:7" ht="13" x14ac:dyDescent="0.15">
      <c r="A311" s="1" t="s">
        <v>15</v>
      </c>
      <c r="B311" s="2" t="s">
        <v>20</v>
      </c>
      <c r="C311" s="3" t="s">
        <v>536</v>
      </c>
      <c r="D311" s="3" t="s">
        <v>536</v>
      </c>
      <c r="E311" s="4">
        <v>5</v>
      </c>
      <c r="F311" s="1" t="s">
        <v>512</v>
      </c>
      <c r="G311" s="5" t="s">
        <v>537</v>
      </c>
    </row>
    <row r="312" spans="1:7" ht="13" x14ac:dyDescent="0.15">
      <c r="A312" s="1" t="s">
        <v>19</v>
      </c>
      <c r="B312" s="2" t="s">
        <v>20</v>
      </c>
      <c r="C312" s="3" t="s">
        <v>538</v>
      </c>
      <c r="D312" s="3" t="s">
        <v>538</v>
      </c>
      <c r="E312" s="4">
        <v>5</v>
      </c>
      <c r="F312" s="1" t="s">
        <v>539</v>
      </c>
      <c r="G312" s="5" t="s">
        <v>537</v>
      </c>
    </row>
    <row r="313" spans="1:7" ht="13" x14ac:dyDescent="0.15">
      <c r="A313" s="1" t="s">
        <v>24</v>
      </c>
      <c r="B313" s="2" t="s">
        <v>20</v>
      </c>
      <c r="C313" s="3" t="s">
        <v>540</v>
      </c>
      <c r="D313" s="3" t="s">
        <v>540</v>
      </c>
      <c r="E313" s="4">
        <v>5</v>
      </c>
      <c r="F313" s="1" t="s">
        <v>541</v>
      </c>
      <c r="G313" s="5" t="s">
        <v>542</v>
      </c>
    </row>
    <row r="314" spans="1:7" ht="13" x14ac:dyDescent="0.15">
      <c r="A314" s="1" t="s">
        <v>28</v>
      </c>
      <c r="B314" s="2" t="s">
        <v>20</v>
      </c>
      <c r="C314" s="3" t="s">
        <v>543</v>
      </c>
      <c r="D314" s="3" t="s">
        <v>543</v>
      </c>
      <c r="E314" s="4">
        <v>5</v>
      </c>
      <c r="F314" s="1" t="s">
        <v>544</v>
      </c>
      <c r="G314" s="5" t="s">
        <v>542</v>
      </c>
    </row>
    <row r="315" spans="1:7" ht="13" x14ac:dyDescent="0.15">
      <c r="A315" s="1" t="s">
        <v>31</v>
      </c>
      <c r="B315" s="2" t="s">
        <v>20</v>
      </c>
      <c r="C315" s="3" t="s">
        <v>545</v>
      </c>
      <c r="D315" s="3" t="s">
        <v>545</v>
      </c>
      <c r="E315" s="4">
        <v>5</v>
      </c>
      <c r="F315" s="1" t="s">
        <v>546</v>
      </c>
      <c r="G315" s="5" t="s">
        <v>542</v>
      </c>
    </row>
    <row r="316" spans="1:7" ht="13" x14ac:dyDescent="0.15">
      <c r="A316" s="1" t="s">
        <v>35</v>
      </c>
      <c r="B316" s="2" t="s">
        <v>20</v>
      </c>
      <c r="C316" s="3" t="s">
        <v>201</v>
      </c>
      <c r="D316" s="3" t="s">
        <v>201</v>
      </c>
      <c r="E316" s="4">
        <v>5</v>
      </c>
      <c r="F316" s="1" t="s">
        <v>547</v>
      </c>
      <c r="G316" s="5" t="s">
        <v>548</v>
      </c>
    </row>
    <row r="317" spans="1:7" ht="13" x14ac:dyDescent="0.15">
      <c r="A317" s="1" t="s">
        <v>40</v>
      </c>
      <c r="B317" s="2" t="s">
        <v>20</v>
      </c>
      <c r="C317" s="3" t="s">
        <v>549</v>
      </c>
      <c r="D317" s="3" t="s">
        <v>549</v>
      </c>
      <c r="E317" s="4">
        <v>5</v>
      </c>
      <c r="F317" s="1" t="s">
        <v>550</v>
      </c>
      <c r="G317" s="5" t="s">
        <v>542</v>
      </c>
    </row>
    <row r="318" spans="1:7" ht="13" x14ac:dyDescent="0.15">
      <c r="A318" s="1" t="s">
        <v>45</v>
      </c>
      <c r="B318" s="2" t="s">
        <v>20</v>
      </c>
      <c r="C318" s="3" t="s">
        <v>551</v>
      </c>
      <c r="D318" s="3" t="s">
        <v>551</v>
      </c>
      <c r="E318" s="4">
        <v>5</v>
      </c>
      <c r="F318" s="1" t="s">
        <v>552</v>
      </c>
      <c r="G318" s="5" t="s">
        <v>548</v>
      </c>
    </row>
    <row r="319" spans="1:7" ht="13" x14ac:dyDescent="0.15">
      <c r="A319" s="32" t="s">
        <v>50</v>
      </c>
      <c r="B319" s="46" t="s">
        <v>20</v>
      </c>
      <c r="C319" s="35" t="s">
        <v>201</v>
      </c>
      <c r="D319" s="35" t="s">
        <v>201</v>
      </c>
      <c r="E319" s="47">
        <v>5</v>
      </c>
      <c r="F319" s="32" t="s">
        <v>553</v>
      </c>
      <c r="G319" s="27" t="s">
        <v>548</v>
      </c>
    </row>
    <row r="320" spans="1:7" ht="13" x14ac:dyDescent="0.15">
      <c r="A320" s="1" t="s">
        <v>554</v>
      </c>
      <c r="C320" s="28" t="s">
        <v>187</v>
      </c>
      <c r="D320" s="28" t="s">
        <v>187</v>
      </c>
      <c r="E320" s="40">
        <f>SUM(E310:E319)</f>
        <v>47</v>
      </c>
    </row>
    <row r="321" spans="1:7" x14ac:dyDescent="0.15">
      <c r="C321" s="28"/>
      <c r="D321" s="28"/>
      <c r="E321" s="40"/>
    </row>
    <row r="322" spans="1:7" ht="26" x14ac:dyDescent="0.15">
      <c r="A322" s="1" t="s">
        <v>508</v>
      </c>
      <c r="B322" s="2" t="s">
        <v>20</v>
      </c>
      <c r="C322" s="9" t="s">
        <v>509</v>
      </c>
      <c r="D322" s="9" t="s">
        <v>509</v>
      </c>
      <c r="E322" s="4">
        <v>2</v>
      </c>
      <c r="F322" s="1" t="s">
        <v>264</v>
      </c>
      <c r="G322" s="5" t="s">
        <v>555</v>
      </c>
    </row>
    <row r="323" spans="1:7" ht="13" x14ac:dyDescent="0.15">
      <c r="A323" s="1" t="s">
        <v>15</v>
      </c>
      <c r="B323" s="2" t="s">
        <v>20</v>
      </c>
      <c r="C323" s="9" t="s">
        <v>556</v>
      </c>
      <c r="D323" s="9" t="s">
        <v>556</v>
      </c>
      <c r="E323" s="4">
        <v>30</v>
      </c>
      <c r="F323" s="1" t="s">
        <v>557</v>
      </c>
      <c r="G323" s="5" t="s">
        <v>558</v>
      </c>
    </row>
    <row r="324" spans="1:7" ht="13" x14ac:dyDescent="0.15">
      <c r="A324" s="1" t="s">
        <v>19</v>
      </c>
      <c r="B324" s="2" t="s">
        <v>20</v>
      </c>
      <c r="C324" s="9" t="s">
        <v>559</v>
      </c>
      <c r="D324" s="9" t="s">
        <v>559</v>
      </c>
      <c r="E324" s="4">
        <v>12</v>
      </c>
      <c r="F324" s="1" t="s">
        <v>560</v>
      </c>
      <c r="G324" s="5" t="s">
        <v>561</v>
      </c>
    </row>
    <row r="325" spans="1:7" ht="13" x14ac:dyDescent="0.15">
      <c r="A325" s="1" t="s">
        <v>24</v>
      </c>
      <c r="B325" s="2" t="s">
        <v>20</v>
      </c>
      <c r="C325" s="9" t="s">
        <v>562</v>
      </c>
      <c r="D325" s="9" t="s">
        <v>562</v>
      </c>
      <c r="E325" s="4">
        <v>2</v>
      </c>
      <c r="F325" s="1" t="s">
        <v>563</v>
      </c>
      <c r="G325" s="5" t="s">
        <v>564</v>
      </c>
    </row>
    <row r="326" spans="1:7" ht="13" x14ac:dyDescent="0.15">
      <c r="A326" s="1" t="s">
        <v>28</v>
      </c>
      <c r="B326" s="2" t="s">
        <v>20</v>
      </c>
      <c r="C326" s="9" t="s">
        <v>565</v>
      </c>
      <c r="D326" s="9" t="s">
        <v>565</v>
      </c>
      <c r="E326" s="4">
        <v>5</v>
      </c>
      <c r="F326" s="1" t="s">
        <v>566</v>
      </c>
    </row>
    <row r="327" spans="1:7" ht="13" x14ac:dyDescent="0.15">
      <c r="C327" s="28" t="s">
        <v>187</v>
      </c>
      <c r="D327" s="28" t="s">
        <v>187</v>
      </c>
      <c r="E327" s="40">
        <f>SUM(E322:E326)</f>
        <v>51</v>
      </c>
    </row>
    <row r="328" spans="1:7" x14ac:dyDescent="0.15">
      <c r="C328" s="28"/>
      <c r="D328" s="28"/>
    </row>
    <row r="329" spans="1:7" x14ac:dyDescent="0.15">
      <c r="C329" s="28"/>
      <c r="D329" s="28"/>
    </row>
    <row r="330" spans="1:7" x14ac:dyDescent="0.15">
      <c r="A330" s="1" t="s">
        <v>554</v>
      </c>
    </row>
    <row r="331" spans="1:7" x14ac:dyDescent="0.15">
      <c r="A331" s="6"/>
      <c r="B331" s="19"/>
      <c r="E331" s="6"/>
      <c r="F331" s="6"/>
      <c r="G331" s="3"/>
    </row>
    <row r="332" spans="1:7" x14ac:dyDescent="0.15">
      <c r="A332" s="6"/>
      <c r="B332" s="19"/>
      <c r="E332" s="6"/>
      <c r="F332" s="6"/>
      <c r="G332" s="3"/>
    </row>
    <row r="333" spans="1:7" x14ac:dyDescent="0.15">
      <c r="A333" s="6"/>
      <c r="B333" s="19"/>
      <c r="E333" s="6"/>
      <c r="F333" s="6"/>
      <c r="G333" s="3"/>
    </row>
    <row r="334" spans="1:7" x14ac:dyDescent="0.15">
      <c r="A334" s="6"/>
      <c r="B334" s="19"/>
      <c r="E334" s="6"/>
      <c r="F334" s="6"/>
      <c r="G334" s="3"/>
    </row>
    <row r="335" spans="1:7" x14ac:dyDescent="0.15">
      <c r="A335" s="6"/>
      <c r="B335" s="19"/>
      <c r="E335" s="6"/>
      <c r="F335" s="6"/>
      <c r="G335" s="3"/>
    </row>
    <row r="336" spans="1:7" x14ac:dyDescent="0.15">
      <c r="A336" s="6"/>
      <c r="B336" s="19"/>
      <c r="E336" s="6"/>
      <c r="F336" s="6"/>
      <c r="G336" s="3"/>
    </row>
    <row r="337" spans="2:7" s="6" customFormat="1" x14ac:dyDescent="0.15">
      <c r="B337" s="19"/>
      <c r="C337" s="3"/>
      <c r="D337" s="3"/>
      <c r="G337" s="3"/>
    </row>
    <row r="338" spans="2:7" s="6" customFormat="1" x14ac:dyDescent="0.15">
      <c r="B338" s="19"/>
      <c r="C338" s="3"/>
      <c r="D338" s="3"/>
      <c r="G338" s="3"/>
    </row>
    <row r="339" spans="2:7" s="6" customFormat="1" x14ac:dyDescent="0.15">
      <c r="B339" s="19"/>
      <c r="C339" s="3"/>
      <c r="D339" s="3"/>
      <c r="G339" s="3"/>
    </row>
    <row r="340" spans="2:7" s="6" customFormat="1" x14ac:dyDescent="0.15">
      <c r="B340" s="19"/>
      <c r="C340" s="3"/>
      <c r="D340" s="3"/>
      <c r="G340" s="3"/>
    </row>
    <row r="341" spans="2:7" s="6" customFormat="1" x14ac:dyDescent="0.15">
      <c r="B341" s="19"/>
      <c r="C341" s="3"/>
      <c r="D341" s="3"/>
      <c r="G341" s="3"/>
    </row>
    <row r="342" spans="2:7" s="6" customFormat="1" x14ac:dyDescent="0.15">
      <c r="B342" s="19"/>
      <c r="C342" s="3"/>
      <c r="D342" s="3"/>
      <c r="G342" s="3"/>
    </row>
    <row r="343" spans="2:7" s="6" customFormat="1" x14ac:dyDescent="0.15">
      <c r="B343" s="19"/>
      <c r="C343" s="3"/>
      <c r="D343" s="3"/>
      <c r="G343" s="3"/>
    </row>
    <row r="344" spans="2:7" s="6" customFormat="1" x14ac:dyDescent="0.15">
      <c r="B344" s="19"/>
      <c r="C344" s="3"/>
      <c r="D344" s="3"/>
      <c r="G344" s="3"/>
    </row>
    <row r="345" spans="2:7" s="6" customFormat="1" x14ac:dyDescent="0.15">
      <c r="B345" s="19"/>
      <c r="C345" s="3"/>
      <c r="D345" s="3"/>
      <c r="G345" s="3"/>
    </row>
    <row r="346" spans="2:7" s="6" customFormat="1" x14ac:dyDescent="0.15">
      <c r="B346" s="19"/>
      <c r="C346" s="3"/>
      <c r="D346" s="3"/>
      <c r="G346" s="3"/>
    </row>
    <row r="347" spans="2:7" s="6" customFormat="1" x14ac:dyDescent="0.15">
      <c r="B347" s="19"/>
      <c r="C347" s="3"/>
      <c r="D347" s="3"/>
      <c r="G347" s="3"/>
    </row>
    <row r="348" spans="2:7" s="6" customFormat="1" x14ac:dyDescent="0.15">
      <c r="B348" s="19"/>
      <c r="C348" s="3"/>
      <c r="D348" s="3"/>
      <c r="G348" s="3"/>
    </row>
    <row r="349" spans="2:7" s="6" customFormat="1" x14ac:dyDescent="0.15">
      <c r="B349" s="19"/>
      <c r="C349" s="3"/>
      <c r="D349" s="3"/>
      <c r="G349" s="3"/>
    </row>
    <row r="350" spans="2:7" s="6" customFormat="1" x14ac:dyDescent="0.15">
      <c r="B350" s="19"/>
      <c r="C350" s="3"/>
      <c r="D350" s="3"/>
      <c r="G350" s="3"/>
    </row>
    <row r="351" spans="2:7" s="6" customFormat="1" x14ac:dyDescent="0.15">
      <c r="B351" s="19"/>
      <c r="C351" s="3"/>
      <c r="D351" s="3"/>
      <c r="G351" s="3"/>
    </row>
    <row r="352" spans="2:7" s="6" customFormat="1" x14ac:dyDescent="0.15">
      <c r="B352" s="19"/>
      <c r="C352" s="3"/>
      <c r="D352" s="3"/>
      <c r="G352" s="3"/>
    </row>
    <row r="353" spans="2:7" s="6" customFormat="1" x14ac:dyDescent="0.15">
      <c r="B353" s="19"/>
      <c r="C353" s="3"/>
      <c r="D353" s="3"/>
      <c r="G353" s="3"/>
    </row>
    <row r="354" spans="2:7" s="6" customFormat="1" x14ac:dyDescent="0.15">
      <c r="B354" s="19"/>
      <c r="C354" s="3"/>
      <c r="D354" s="3"/>
      <c r="G354" s="3"/>
    </row>
    <row r="355" spans="2:7" s="6" customFormat="1" x14ac:dyDescent="0.15">
      <c r="B355" s="19"/>
      <c r="C355" s="3"/>
      <c r="D355" s="3"/>
      <c r="G355" s="3"/>
    </row>
    <row r="356" spans="2:7" s="6" customFormat="1" x14ac:dyDescent="0.15">
      <c r="B356" s="19"/>
      <c r="C356" s="3"/>
      <c r="D356" s="3"/>
      <c r="G356" s="3"/>
    </row>
    <row r="357" spans="2:7" s="6" customFormat="1" x14ac:dyDescent="0.15">
      <c r="B357" s="19"/>
      <c r="C357" s="3"/>
      <c r="D357" s="3"/>
      <c r="G357" s="3"/>
    </row>
    <row r="358" spans="2:7" s="6" customFormat="1" x14ac:dyDescent="0.15">
      <c r="B358" s="19"/>
      <c r="C358" s="3"/>
      <c r="D358" s="3"/>
      <c r="G358" s="3"/>
    </row>
    <row r="359" spans="2:7" s="6" customFormat="1" x14ac:dyDescent="0.15">
      <c r="B359" s="19"/>
      <c r="C359" s="3"/>
      <c r="D359" s="3"/>
      <c r="G359" s="3"/>
    </row>
    <row r="360" spans="2:7" s="6" customFormat="1" x14ac:dyDescent="0.15">
      <c r="B360" s="19"/>
      <c r="C360" s="3"/>
      <c r="D360" s="3"/>
      <c r="G360" s="3"/>
    </row>
    <row r="361" spans="2:7" s="6" customFormat="1" x14ac:dyDescent="0.15">
      <c r="B361" s="19"/>
      <c r="C361" s="3"/>
      <c r="D361" s="3"/>
      <c r="G361" s="3"/>
    </row>
    <row r="362" spans="2:7" s="6" customFormat="1" x14ac:dyDescent="0.15">
      <c r="B362" s="19"/>
      <c r="C362" s="3"/>
      <c r="D362" s="3"/>
      <c r="G362" s="3"/>
    </row>
    <row r="363" spans="2:7" s="6" customFormat="1" x14ac:dyDescent="0.15">
      <c r="B363" s="19"/>
      <c r="C363" s="3"/>
      <c r="D363" s="3"/>
      <c r="G363" s="3"/>
    </row>
    <row r="364" spans="2:7" s="6" customFormat="1" x14ac:dyDescent="0.15">
      <c r="B364" s="19"/>
      <c r="C364" s="3"/>
      <c r="D364" s="3"/>
      <c r="G364" s="3"/>
    </row>
    <row r="365" spans="2:7" s="6" customFormat="1" x14ac:dyDescent="0.15">
      <c r="B365" s="19"/>
      <c r="C365" s="3"/>
      <c r="D365" s="3"/>
      <c r="G365" s="3"/>
    </row>
    <row r="366" spans="2:7" s="6" customFormat="1" x14ac:dyDescent="0.15">
      <c r="B366" s="19"/>
      <c r="C366" s="3"/>
      <c r="D366" s="3"/>
      <c r="G366" s="3"/>
    </row>
    <row r="367" spans="2:7" s="6" customFormat="1" x14ac:dyDescent="0.15">
      <c r="B367" s="19"/>
      <c r="C367" s="3"/>
      <c r="D367" s="3"/>
      <c r="G367" s="3"/>
    </row>
    <row r="368" spans="2:7" s="6" customFormat="1" x14ac:dyDescent="0.15">
      <c r="B368" s="19"/>
      <c r="C368" s="3"/>
      <c r="D368" s="3"/>
      <c r="G368" s="3"/>
    </row>
    <row r="369" spans="2:7" s="6" customFormat="1" x14ac:dyDescent="0.15">
      <c r="B369" s="19"/>
      <c r="C369" s="3"/>
      <c r="D369" s="3"/>
      <c r="G369" s="3"/>
    </row>
    <row r="370" spans="2:7" s="6" customFormat="1" x14ac:dyDescent="0.15">
      <c r="B370" s="19"/>
      <c r="C370" s="3"/>
      <c r="D370" s="3"/>
      <c r="G370" s="3"/>
    </row>
    <row r="371" spans="2:7" s="6" customFormat="1" x14ac:dyDescent="0.15">
      <c r="B371" s="19"/>
      <c r="C371" s="3"/>
      <c r="D371" s="3"/>
      <c r="G371" s="3"/>
    </row>
    <row r="372" spans="2:7" s="6" customFormat="1" x14ac:dyDescent="0.15">
      <c r="B372" s="19"/>
      <c r="C372" s="3"/>
      <c r="D372" s="3"/>
      <c r="G372" s="3"/>
    </row>
    <row r="373" spans="2:7" s="6" customFormat="1" x14ac:dyDescent="0.15">
      <c r="B373" s="19"/>
      <c r="C373" s="3"/>
      <c r="D373" s="3"/>
      <c r="G373" s="3"/>
    </row>
    <row r="374" spans="2:7" s="6" customFormat="1" x14ac:dyDescent="0.15">
      <c r="B374" s="19"/>
      <c r="C374" s="3"/>
      <c r="D374" s="3"/>
      <c r="G374" s="3"/>
    </row>
    <row r="375" spans="2:7" s="6" customFormat="1" x14ac:dyDescent="0.15">
      <c r="B375" s="19"/>
      <c r="C375" s="3"/>
      <c r="D375" s="3"/>
      <c r="G375" s="3"/>
    </row>
    <row r="376" spans="2:7" s="6" customFormat="1" x14ac:dyDescent="0.15">
      <c r="B376" s="19"/>
      <c r="C376" s="3"/>
      <c r="D376" s="3"/>
      <c r="G376" s="3"/>
    </row>
    <row r="377" spans="2:7" s="6" customFormat="1" x14ac:dyDescent="0.15">
      <c r="B377" s="19"/>
      <c r="C377" s="3"/>
      <c r="D377" s="3"/>
      <c r="G377" s="3"/>
    </row>
    <row r="378" spans="2:7" s="6" customFormat="1" x14ac:dyDescent="0.15">
      <c r="B378" s="19"/>
      <c r="C378" s="3"/>
      <c r="D378" s="3"/>
      <c r="G378" s="3"/>
    </row>
    <row r="379" spans="2:7" s="6" customFormat="1" x14ac:dyDescent="0.15">
      <c r="B379" s="19"/>
      <c r="C379" s="3"/>
      <c r="D379" s="3"/>
      <c r="G379" s="3"/>
    </row>
    <row r="380" spans="2:7" s="6" customFormat="1" x14ac:dyDescent="0.15">
      <c r="B380" s="19"/>
      <c r="C380" s="3"/>
      <c r="D380" s="3"/>
      <c r="G380" s="3"/>
    </row>
    <row r="381" spans="2:7" s="6" customFormat="1" x14ac:dyDescent="0.15">
      <c r="B381" s="19"/>
      <c r="C381" s="3"/>
      <c r="D381" s="3"/>
      <c r="G381" s="3"/>
    </row>
    <row r="382" spans="2:7" s="6" customFormat="1" x14ac:dyDescent="0.15">
      <c r="B382" s="19"/>
      <c r="C382" s="3"/>
      <c r="D382" s="3"/>
      <c r="G382" s="3"/>
    </row>
    <row r="383" spans="2:7" s="6" customFormat="1" x14ac:dyDescent="0.15">
      <c r="B383" s="19"/>
      <c r="C383" s="3"/>
      <c r="D383" s="3"/>
      <c r="G383" s="3"/>
    </row>
    <row r="384" spans="2:7" s="6" customFormat="1" x14ac:dyDescent="0.15">
      <c r="B384" s="19"/>
      <c r="C384" s="3"/>
      <c r="D384" s="3"/>
      <c r="G384" s="3"/>
    </row>
    <row r="385" spans="2:7" s="6" customFormat="1" x14ac:dyDescent="0.15">
      <c r="B385" s="19"/>
      <c r="C385" s="3"/>
      <c r="D385" s="3"/>
      <c r="G385" s="3"/>
    </row>
    <row r="386" spans="2:7" s="6" customFormat="1" x14ac:dyDescent="0.15">
      <c r="B386" s="19"/>
      <c r="C386" s="3"/>
      <c r="D386" s="3"/>
      <c r="G386" s="3"/>
    </row>
    <row r="387" spans="2:7" s="6" customFormat="1" x14ac:dyDescent="0.15">
      <c r="B387" s="19"/>
      <c r="C387" s="3"/>
      <c r="D387" s="3"/>
      <c r="G387" s="3"/>
    </row>
    <row r="388" spans="2:7" s="6" customFormat="1" x14ac:dyDescent="0.15">
      <c r="B388" s="19"/>
      <c r="C388" s="3"/>
      <c r="D388" s="3"/>
      <c r="G388" s="3"/>
    </row>
    <row r="389" spans="2:7" s="6" customFormat="1" x14ac:dyDescent="0.15">
      <c r="B389" s="19"/>
      <c r="C389" s="3"/>
      <c r="D389" s="3"/>
      <c r="G389" s="3"/>
    </row>
    <row r="390" spans="2:7" s="6" customFormat="1" x14ac:dyDescent="0.15">
      <c r="B390" s="19"/>
      <c r="C390" s="3"/>
      <c r="D390" s="3"/>
      <c r="G390" s="3"/>
    </row>
    <row r="391" spans="2:7" s="6" customFormat="1" x14ac:dyDescent="0.15">
      <c r="B391" s="19"/>
      <c r="C391" s="3"/>
      <c r="D391" s="3"/>
      <c r="G391" s="3"/>
    </row>
    <row r="392" spans="2:7" s="6" customFormat="1" x14ac:dyDescent="0.15">
      <c r="B392" s="19"/>
      <c r="C392" s="3"/>
      <c r="D392" s="3"/>
      <c r="G392" s="3"/>
    </row>
    <row r="393" spans="2:7" s="6" customFormat="1" x14ac:dyDescent="0.15">
      <c r="B393" s="19"/>
      <c r="C393" s="3"/>
      <c r="D393" s="3"/>
      <c r="G393" s="3"/>
    </row>
    <row r="394" spans="2:7" s="6" customFormat="1" x14ac:dyDescent="0.15">
      <c r="B394" s="19"/>
      <c r="C394" s="3"/>
      <c r="D394" s="3"/>
      <c r="G394" s="3"/>
    </row>
    <row r="395" spans="2:7" s="6" customFormat="1" x14ac:dyDescent="0.15">
      <c r="B395" s="19"/>
      <c r="C395" s="3"/>
      <c r="D395" s="3"/>
      <c r="G395" s="3"/>
    </row>
    <row r="396" spans="2:7" s="6" customFormat="1" x14ac:dyDescent="0.15">
      <c r="B396" s="19"/>
      <c r="C396" s="3"/>
      <c r="D396" s="3"/>
      <c r="G396" s="3"/>
    </row>
    <row r="397" spans="2:7" s="6" customFormat="1" x14ac:dyDescent="0.15">
      <c r="B397" s="19"/>
      <c r="C397" s="3"/>
      <c r="D397" s="3"/>
      <c r="G397" s="3"/>
    </row>
    <row r="398" spans="2:7" s="6" customFormat="1" x14ac:dyDescent="0.15">
      <c r="B398" s="19"/>
      <c r="C398" s="3"/>
      <c r="D398" s="3"/>
      <c r="G398" s="3"/>
    </row>
    <row r="399" spans="2:7" s="6" customFormat="1" x14ac:dyDescent="0.15">
      <c r="B399" s="19"/>
      <c r="C399" s="3"/>
      <c r="D399" s="3"/>
      <c r="G399" s="3"/>
    </row>
    <row r="400" spans="2:7" s="6" customFormat="1" x14ac:dyDescent="0.15">
      <c r="B400" s="19"/>
      <c r="C400" s="3"/>
      <c r="D400" s="3"/>
      <c r="G400" s="3"/>
    </row>
    <row r="401" spans="2:7" s="6" customFormat="1" x14ac:dyDescent="0.15">
      <c r="B401" s="19"/>
      <c r="C401" s="3"/>
      <c r="D401" s="3"/>
      <c r="G401" s="3"/>
    </row>
    <row r="402" spans="2:7" s="6" customFormat="1" x14ac:dyDescent="0.15">
      <c r="B402" s="19"/>
      <c r="C402" s="3"/>
      <c r="D402" s="3"/>
      <c r="G402" s="3"/>
    </row>
    <row r="403" spans="2:7" s="6" customFormat="1" x14ac:dyDescent="0.15">
      <c r="B403" s="19"/>
      <c r="C403" s="3"/>
      <c r="D403" s="3"/>
      <c r="G403" s="3"/>
    </row>
    <row r="404" spans="2:7" s="6" customFormat="1" x14ac:dyDescent="0.15">
      <c r="B404" s="19"/>
      <c r="C404" s="3"/>
      <c r="D404" s="3"/>
      <c r="G404" s="3"/>
    </row>
    <row r="405" spans="2:7" s="6" customFormat="1" x14ac:dyDescent="0.15">
      <c r="B405" s="19"/>
      <c r="C405" s="3"/>
      <c r="D405" s="3"/>
      <c r="G405" s="3"/>
    </row>
    <row r="406" spans="2:7" s="6" customFormat="1" x14ac:dyDescent="0.15">
      <c r="B406" s="19"/>
      <c r="C406" s="3"/>
      <c r="D406" s="3"/>
      <c r="G406" s="3"/>
    </row>
    <row r="407" spans="2:7" s="6" customFormat="1" x14ac:dyDescent="0.15">
      <c r="B407" s="19"/>
      <c r="C407" s="3"/>
      <c r="D407" s="3"/>
      <c r="G407" s="3"/>
    </row>
    <row r="408" spans="2:7" s="6" customFormat="1" x14ac:dyDescent="0.15">
      <c r="B408" s="19"/>
      <c r="C408" s="3"/>
      <c r="D408" s="3"/>
      <c r="G408" s="3"/>
    </row>
    <row r="409" spans="2:7" s="6" customFormat="1" x14ac:dyDescent="0.15">
      <c r="B409" s="19"/>
      <c r="C409" s="3"/>
      <c r="D409" s="3"/>
      <c r="G409" s="3"/>
    </row>
    <row r="410" spans="2:7" s="6" customFormat="1" x14ac:dyDescent="0.15">
      <c r="B410" s="19"/>
      <c r="C410" s="3"/>
      <c r="D410" s="3"/>
      <c r="G410" s="3"/>
    </row>
    <row r="411" spans="2:7" s="6" customFormat="1" x14ac:dyDescent="0.15">
      <c r="B411" s="19"/>
      <c r="C411" s="3"/>
      <c r="D411" s="3"/>
      <c r="G411" s="3"/>
    </row>
    <row r="412" spans="2:7" s="6" customFormat="1" x14ac:dyDescent="0.15">
      <c r="B412" s="19"/>
      <c r="C412" s="3"/>
      <c r="D412" s="3"/>
      <c r="G412" s="3"/>
    </row>
    <row r="413" spans="2:7" s="6" customFormat="1" x14ac:dyDescent="0.15">
      <c r="B413" s="19"/>
      <c r="C413" s="3"/>
      <c r="D413" s="3"/>
      <c r="G413" s="3"/>
    </row>
    <row r="414" spans="2:7" s="6" customFormat="1" x14ac:dyDescent="0.15">
      <c r="B414" s="19"/>
      <c r="C414" s="3"/>
      <c r="D414" s="3"/>
      <c r="G414" s="3"/>
    </row>
    <row r="415" spans="2:7" s="6" customFormat="1" x14ac:dyDescent="0.15">
      <c r="B415" s="19"/>
      <c r="C415" s="3"/>
      <c r="D415" s="3"/>
      <c r="G415" s="3"/>
    </row>
    <row r="416" spans="2:7" s="6" customFormat="1" x14ac:dyDescent="0.15">
      <c r="B416" s="19"/>
      <c r="C416" s="3"/>
      <c r="D416" s="3"/>
      <c r="G416" s="3"/>
    </row>
    <row r="417" spans="2:7" s="6" customFormat="1" x14ac:dyDescent="0.15">
      <c r="B417" s="19"/>
      <c r="C417" s="3"/>
      <c r="D417" s="3"/>
      <c r="G417" s="3"/>
    </row>
    <row r="418" spans="2:7" s="6" customFormat="1" x14ac:dyDescent="0.15">
      <c r="B418" s="19"/>
      <c r="C418" s="3"/>
      <c r="D418" s="3"/>
      <c r="G418" s="3"/>
    </row>
    <row r="419" spans="2:7" s="6" customFormat="1" x14ac:dyDescent="0.15">
      <c r="B419" s="19"/>
      <c r="C419" s="3"/>
      <c r="D419" s="3"/>
      <c r="G419" s="3"/>
    </row>
    <row r="420" spans="2:7" s="6" customFormat="1" x14ac:dyDescent="0.15">
      <c r="B420" s="19"/>
      <c r="C420" s="3"/>
      <c r="D420" s="3"/>
      <c r="G420" s="3"/>
    </row>
    <row r="421" spans="2:7" s="6" customFormat="1" x14ac:dyDescent="0.15">
      <c r="B421" s="19"/>
      <c r="C421" s="3"/>
      <c r="D421" s="3"/>
      <c r="G421" s="3"/>
    </row>
    <row r="422" spans="2:7" s="6" customFormat="1" x14ac:dyDescent="0.15">
      <c r="B422" s="19"/>
      <c r="C422" s="3"/>
      <c r="D422" s="3"/>
      <c r="G422" s="3"/>
    </row>
    <row r="423" spans="2:7" s="6" customFormat="1" x14ac:dyDescent="0.15">
      <c r="B423" s="19"/>
      <c r="C423" s="3"/>
      <c r="D423" s="3"/>
      <c r="G423" s="3"/>
    </row>
    <row r="424" spans="2:7" s="6" customFormat="1" x14ac:dyDescent="0.15">
      <c r="B424" s="19"/>
      <c r="C424" s="3"/>
      <c r="D424" s="3"/>
      <c r="G424" s="3"/>
    </row>
    <row r="425" spans="2:7" s="6" customFormat="1" x14ac:dyDescent="0.15">
      <c r="B425" s="19"/>
      <c r="C425" s="3"/>
      <c r="D425" s="3"/>
      <c r="G425" s="3"/>
    </row>
    <row r="426" spans="2:7" s="6" customFormat="1" x14ac:dyDescent="0.15">
      <c r="B426" s="19"/>
      <c r="C426" s="3"/>
      <c r="D426" s="3"/>
      <c r="G426" s="3"/>
    </row>
    <row r="427" spans="2:7" s="6" customFormat="1" x14ac:dyDescent="0.15">
      <c r="B427" s="19"/>
      <c r="C427" s="3"/>
      <c r="D427" s="3"/>
      <c r="G427" s="3"/>
    </row>
    <row r="428" spans="2:7" s="6" customFormat="1" x14ac:dyDescent="0.15">
      <c r="B428" s="19"/>
      <c r="C428" s="3"/>
      <c r="D428" s="3"/>
      <c r="G428" s="3"/>
    </row>
    <row r="429" spans="2:7" s="6" customFormat="1" x14ac:dyDescent="0.15">
      <c r="B429" s="19"/>
      <c r="C429" s="3"/>
      <c r="D429" s="3"/>
      <c r="G429" s="3"/>
    </row>
    <row r="430" spans="2:7" s="6" customFormat="1" x14ac:dyDescent="0.15">
      <c r="B430" s="19"/>
      <c r="C430" s="3"/>
      <c r="D430" s="3"/>
      <c r="G430" s="3"/>
    </row>
    <row r="431" spans="2:7" s="6" customFormat="1" x14ac:dyDescent="0.15">
      <c r="B431" s="19"/>
      <c r="C431" s="3"/>
      <c r="D431" s="3"/>
      <c r="G431" s="3"/>
    </row>
    <row r="432" spans="2:7" s="6" customFormat="1" x14ac:dyDescent="0.15">
      <c r="B432" s="19"/>
      <c r="C432" s="3"/>
      <c r="D432" s="3"/>
      <c r="G432" s="3"/>
    </row>
    <row r="433" spans="2:7" s="6" customFormat="1" x14ac:dyDescent="0.15">
      <c r="B433" s="19"/>
      <c r="C433" s="3"/>
      <c r="D433" s="3"/>
      <c r="G433" s="3"/>
    </row>
    <row r="434" spans="2:7" s="6" customFormat="1" x14ac:dyDescent="0.15">
      <c r="B434" s="19"/>
      <c r="C434" s="3"/>
      <c r="D434" s="3"/>
      <c r="G434" s="3"/>
    </row>
    <row r="435" spans="2:7" s="6" customFormat="1" x14ac:dyDescent="0.15">
      <c r="B435" s="19"/>
      <c r="C435" s="3"/>
      <c r="D435" s="3"/>
      <c r="G435" s="3"/>
    </row>
    <row r="436" spans="2:7" s="6" customFormat="1" x14ac:dyDescent="0.15">
      <c r="B436" s="19"/>
      <c r="C436" s="3"/>
      <c r="D436" s="3"/>
      <c r="G436" s="3"/>
    </row>
    <row r="437" spans="2:7" s="6" customFormat="1" x14ac:dyDescent="0.15">
      <c r="B437" s="19"/>
      <c r="C437" s="3"/>
      <c r="D437" s="3"/>
      <c r="G437" s="3"/>
    </row>
    <row r="438" spans="2:7" s="6" customFormat="1" x14ac:dyDescent="0.15">
      <c r="B438" s="19"/>
      <c r="C438" s="3"/>
      <c r="D438" s="3"/>
      <c r="G438" s="3"/>
    </row>
    <row r="439" spans="2:7" s="6" customFormat="1" x14ac:dyDescent="0.15">
      <c r="B439" s="19"/>
      <c r="C439" s="3"/>
      <c r="D439" s="3"/>
      <c r="G439" s="3"/>
    </row>
    <row r="440" spans="2:7" s="6" customFormat="1" x14ac:dyDescent="0.15">
      <c r="B440" s="19"/>
      <c r="C440" s="3"/>
      <c r="D440" s="3"/>
      <c r="G440" s="3"/>
    </row>
    <row r="441" spans="2:7" s="6" customFormat="1" x14ac:dyDescent="0.15">
      <c r="B441" s="19"/>
      <c r="C441" s="3"/>
      <c r="D441" s="3"/>
      <c r="G441" s="3"/>
    </row>
    <row r="442" spans="2:7" s="6" customFormat="1" x14ac:dyDescent="0.15">
      <c r="B442" s="19"/>
      <c r="C442" s="3"/>
      <c r="D442" s="3"/>
      <c r="G442" s="3"/>
    </row>
    <row r="443" spans="2:7" s="6" customFormat="1" x14ac:dyDescent="0.15">
      <c r="B443" s="19"/>
      <c r="C443" s="3"/>
      <c r="D443" s="3"/>
      <c r="G443" s="3"/>
    </row>
    <row r="444" spans="2:7" s="6" customFormat="1" x14ac:dyDescent="0.15">
      <c r="B444" s="19"/>
      <c r="C444" s="3"/>
      <c r="D444" s="3"/>
      <c r="G444" s="3"/>
    </row>
    <row r="445" spans="2:7" s="6" customFormat="1" x14ac:dyDescent="0.15">
      <c r="B445" s="19"/>
      <c r="C445" s="3"/>
      <c r="D445" s="3"/>
      <c r="G445" s="3"/>
    </row>
    <row r="446" spans="2:7" s="6" customFormat="1" x14ac:dyDescent="0.15">
      <c r="B446" s="19"/>
      <c r="C446" s="3"/>
      <c r="D446" s="3"/>
      <c r="G446" s="3"/>
    </row>
    <row r="447" spans="2:7" s="6" customFormat="1" x14ac:dyDescent="0.15">
      <c r="B447" s="19"/>
      <c r="C447" s="3"/>
      <c r="D447" s="3"/>
      <c r="G447" s="3"/>
    </row>
    <row r="448" spans="2:7" s="6" customFormat="1" x14ac:dyDescent="0.15">
      <c r="B448" s="19"/>
      <c r="C448" s="3"/>
      <c r="D448" s="3"/>
      <c r="G448" s="3"/>
    </row>
    <row r="449" spans="2:7" s="6" customFormat="1" x14ac:dyDescent="0.15">
      <c r="B449" s="19"/>
      <c r="C449" s="3"/>
      <c r="D449" s="3"/>
      <c r="G449" s="3"/>
    </row>
    <row r="450" spans="2:7" s="6" customFormat="1" x14ac:dyDescent="0.15">
      <c r="B450" s="19"/>
      <c r="C450" s="3"/>
      <c r="D450" s="3"/>
      <c r="G450" s="3"/>
    </row>
    <row r="451" spans="2:7" s="6" customFormat="1" x14ac:dyDescent="0.15">
      <c r="B451" s="19"/>
      <c r="C451" s="3"/>
      <c r="D451" s="3"/>
      <c r="G451" s="3"/>
    </row>
    <row r="452" spans="2:7" s="6" customFormat="1" x14ac:dyDescent="0.15">
      <c r="B452" s="19"/>
      <c r="C452" s="3"/>
      <c r="D452" s="3"/>
      <c r="G452" s="3"/>
    </row>
    <row r="453" spans="2:7" s="6" customFormat="1" x14ac:dyDescent="0.15">
      <c r="B453" s="19"/>
      <c r="C453" s="3"/>
      <c r="D453" s="3"/>
      <c r="G453" s="3"/>
    </row>
    <row r="454" spans="2:7" s="6" customFormat="1" x14ac:dyDescent="0.15">
      <c r="B454" s="19"/>
      <c r="C454" s="3"/>
      <c r="D454" s="3"/>
      <c r="G454" s="3"/>
    </row>
    <row r="455" spans="2:7" s="6" customFormat="1" x14ac:dyDescent="0.15">
      <c r="B455" s="19"/>
      <c r="C455" s="3"/>
      <c r="D455" s="3"/>
      <c r="G455" s="3"/>
    </row>
    <row r="456" spans="2:7" s="6" customFormat="1" x14ac:dyDescent="0.15">
      <c r="B456" s="19"/>
      <c r="C456" s="3"/>
      <c r="D456" s="3"/>
      <c r="G456" s="3"/>
    </row>
    <row r="457" spans="2:7" s="6" customFormat="1" x14ac:dyDescent="0.15">
      <c r="B457" s="19"/>
      <c r="C457" s="3"/>
      <c r="D457" s="3"/>
      <c r="G457" s="3"/>
    </row>
    <row r="458" spans="2:7" s="6" customFormat="1" x14ac:dyDescent="0.15">
      <c r="B458" s="19"/>
      <c r="C458" s="3"/>
      <c r="D458" s="3"/>
      <c r="G458" s="3"/>
    </row>
    <row r="459" spans="2:7" s="6" customFormat="1" x14ac:dyDescent="0.15">
      <c r="B459" s="19"/>
      <c r="C459" s="3"/>
      <c r="D459" s="3"/>
      <c r="G459" s="3"/>
    </row>
    <row r="460" spans="2:7" s="6" customFormat="1" x14ac:dyDescent="0.15">
      <c r="B460" s="19"/>
      <c r="C460" s="3"/>
      <c r="D460" s="3"/>
      <c r="G460" s="3"/>
    </row>
    <row r="461" spans="2:7" s="6" customFormat="1" x14ac:dyDescent="0.15">
      <c r="B461" s="19"/>
      <c r="C461" s="3"/>
      <c r="D461" s="3"/>
      <c r="G461" s="3"/>
    </row>
    <row r="462" spans="2:7" s="6" customFormat="1" x14ac:dyDescent="0.15">
      <c r="B462" s="19"/>
      <c r="C462" s="3"/>
      <c r="D462" s="3"/>
      <c r="G462" s="3"/>
    </row>
    <row r="463" spans="2:7" s="6" customFormat="1" x14ac:dyDescent="0.15">
      <c r="B463" s="19"/>
      <c r="C463" s="3"/>
      <c r="D463" s="3"/>
      <c r="G463" s="3"/>
    </row>
    <row r="464" spans="2:7" s="6" customFormat="1" x14ac:dyDescent="0.15">
      <c r="B464" s="19"/>
      <c r="C464" s="3"/>
      <c r="D464" s="3"/>
      <c r="G464" s="3"/>
    </row>
    <row r="465" spans="2:7" s="6" customFormat="1" x14ac:dyDescent="0.15">
      <c r="B465" s="19"/>
      <c r="C465" s="3"/>
      <c r="D465" s="3"/>
      <c r="G465" s="3"/>
    </row>
    <row r="466" spans="2:7" s="6" customFormat="1" x14ac:dyDescent="0.15">
      <c r="B466" s="19"/>
      <c r="C466" s="3"/>
      <c r="D466" s="3"/>
      <c r="G466" s="3"/>
    </row>
    <row r="467" spans="2:7" s="6" customFormat="1" x14ac:dyDescent="0.15">
      <c r="B467" s="19"/>
      <c r="C467" s="3"/>
      <c r="D467" s="3"/>
      <c r="G467" s="3"/>
    </row>
    <row r="468" spans="2:7" s="6" customFormat="1" x14ac:dyDescent="0.15">
      <c r="B468" s="19"/>
      <c r="C468" s="3"/>
      <c r="D468" s="3"/>
      <c r="G468" s="3"/>
    </row>
    <row r="469" spans="2:7" s="6" customFormat="1" x14ac:dyDescent="0.15">
      <c r="B469" s="19"/>
      <c r="C469" s="3"/>
      <c r="D469" s="3"/>
      <c r="G469" s="3"/>
    </row>
    <row r="470" spans="2:7" s="6" customFormat="1" x14ac:dyDescent="0.15">
      <c r="B470" s="19"/>
      <c r="C470" s="3"/>
      <c r="D470" s="3"/>
      <c r="G470" s="3"/>
    </row>
    <row r="471" spans="2:7" s="6" customFormat="1" x14ac:dyDescent="0.15">
      <c r="B471" s="19"/>
      <c r="C471" s="3"/>
      <c r="D471" s="3"/>
      <c r="G471" s="3"/>
    </row>
    <row r="472" spans="2:7" s="6" customFormat="1" x14ac:dyDescent="0.15">
      <c r="B472" s="19"/>
      <c r="C472" s="3"/>
      <c r="D472" s="3"/>
      <c r="G472" s="3"/>
    </row>
    <row r="473" spans="2:7" s="6" customFormat="1" x14ac:dyDescent="0.15">
      <c r="B473" s="19"/>
      <c r="C473" s="3"/>
      <c r="D473" s="3"/>
      <c r="G473" s="3"/>
    </row>
    <row r="474" spans="2:7" s="6" customFormat="1" x14ac:dyDescent="0.15">
      <c r="B474" s="19"/>
      <c r="C474" s="3"/>
      <c r="D474" s="3"/>
      <c r="G474" s="3"/>
    </row>
    <row r="475" spans="2:7" s="6" customFormat="1" x14ac:dyDescent="0.15">
      <c r="B475" s="19"/>
      <c r="C475" s="3"/>
      <c r="D475" s="3"/>
      <c r="G475" s="3"/>
    </row>
    <row r="476" spans="2:7" s="6" customFormat="1" x14ac:dyDescent="0.15">
      <c r="B476" s="19"/>
      <c r="C476" s="3"/>
      <c r="D476" s="3"/>
      <c r="G476" s="3"/>
    </row>
    <row r="477" spans="2:7" s="6" customFormat="1" x14ac:dyDescent="0.15">
      <c r="B477" s="19"/>
      <c r="C477" s="3"/>
      <c r="D477" s="3"/>
      <c r="G477" s="3"/>
    </row>
    <row r="478" spans="2:7" s="6" customFormat="1" x14ac:dyDescent="0.15">
      <c r="B478" s="19"/>
      <c r="C478" s="3"/>
      <c r="D478" s="3"/>
      <c r="G478" s="3"/>
    </row>
    <row r="479" spans="2:7" s="6" customFormat="1" x14ac:dyDescent="0.15">
      <c r="B479" s="19"/>
      <c r="C479" s="3"/>
      <c r="D479" s="3"/>
      <c r="G479" s="3"/>
    </row>
    <row r="480" spans="2:7" s="6" customFormat="1" x14ac:dyDescent="0.15">
      <c r="B480" s="19"/>
      <c r="C480" s="3"/>
      <c r="D480" s="3"/>
      <c r="G480" s="3"/>
    </row>
    <row r="481" spans="2:7" s="6" customFormat="1" x14ac:dyDescent="0.15">
      <c r="B481" s="19"/>
      <c r="C481" s="3"/>
      <c r="D481" s="3"/>
      <c r="G481" s="3"/>
    </row>
    <row r="482" spans="2:7" s="6" customFormat="1" x14ac:dyDescent="0.15">
      <c r="B482" s="19"/>
      <c r="C482" s="3"/>
      <c r="D482" s="3"/>
      <c r="G482" s="3"/>
    </row>
    <row r="483" spans="2:7" s="6" customFormat="1" x14ac:dyDescent="0.15">
      <c r="B483" s="19"/>
      <c r="C483" s="3"/>
      <c r="D483" s="3"/>
      <c r="G483" s="3"/>
    </row>
    <row r="484" spans="2:7" s="6" customFormat="1" x14ac:dyDescent="0.15">
      <c r="B484" s="19"/>
      <c r="C484" s="3"/>
      <c r="D484" s="3"/>
      <c r="G484" s="3"/>
    </row>
    <row r="485" spans="2:7" s="6" customFormat="1" x14ac:dyDescent="0.15">
      <c r="B485" s="19"/>
      <c r="C485" s="3"/>
      <c r="D485" s="3"/>
      <c r="G485" s="3"/>
    </row>
    <row r="486" spans="2:7" s="6" customFormat="1" x14ac:dyDescent="0.15">
      <c r="B486" s="19"/>
      <c r="C486" s="3"/>
      <c r="D486" s="3"/>
      <c r="G486" s="3"/>
    </row>
    <row r="487" spans="2:7" s="6" customFormat="1" x14ac:dyDescent="0.15">
      <c r="B487" s="19"/>
      <c r="C487" s="3"/>
      <c r="D487" s="3"/>
      <c r="G487" s="3"/>
    </row>
    <row r="488" spans="2:7" s="6" customFormat="1" x14ac:dyDescent="0.15">
      <c r="B488" s="19"/>
      <c r="C488" s="3"/>
      <c r="D488" s="3"/>
      <c r="G488" s="3"/>
    </row>
    <row r="489" spans="2:7" s="6" customFormat="1" x14ac:dyDescent="0.15">
      <c r="B489" s="19"/>
      <c r="C489" s="3"/>
      <c r="D489" s="3"/>
      <c r="G489" s="3"/>
    </row>
    <row r="490" spans="2:7" s="6" customFormat="1" x14ac:dyDescent="0.15">
      <c r="B490" s="19"/>
      <c r="C490" s="3"/>
      <c r="D490" s="3"/>
      <c r="G490" s="3"/>
    </row>
    <row r="491" spans="2:7" s="6" customFormat="1" x14ac:dyDescent="0.15">
      <c r="B491" s="19"/>
      <c r="C491" s="3"/>
      <c r="D491" s="3"/>
      <c r="G491" s="3"/>
    </row>
    <row r="492" spans="2:7" s="6" customFormat="1" x14ac:dyDescent="0.15">
      <c r="B492" s="19"/>
      <c r="C492" s="3"/>
      <c r="D492" s="3"/>
      <c r="G492" s="3"/>
    </row>
    <row r="493" spans="2:7" s="6" customFormat="1" x14ac:dyDescent="0.15">
      <c r="B493" s="19"/>
      <c r="C493" s="3"/>
      <c r="D493" s="3"/>
      <c r="G493" s="3"/>
    </row>
    <row r="494" spans="2:7" s="6" customFormat="1" x14ac:dyDescent="0.15">
      <c r="B494" s="19"/>
      <c r="C494" s="3"/>
      <c r="D494" s="3"/>
      <c r="G494" s="3"/>
    </row>
    <row r="495" spans="2:7" s="6" customFormat="1" x14ac:dyDescent="0.15">
      <c r="B495" s="19"/>
      <c r="C495" s="3"/>
      <c r="D495" s="3"/>
      <c r="G495" s="3"/>
    </row>
    <row r="496" spans="2:7" s="6" customFormat="1" x14ac:dyDescent="0.15">
      <c r="B496" s="19"/>
      <c r="C496" s="3"/>
      <c r="D496" s="3"/>
      <c r="G496" s="3"/>
    </row>
    <row r="497" spans="2:7" s="6" customFormat="1" x14ac:dyDescent="0.15">
      <c r="B497" s="19"/>
      <c r="C497" s="3"/>
      <c r="D497" s="3"/>
      <c r="G497" s="3"/>
    </row>
    <row r="498" spans="2:7" s="6" customFormat="1" x14ac:dyDescent="0.15">
      <c r="B498" s="19"/>
      <c r="C498" s="3"/>
      <c r="D498" s="3"/>
      <c r="G498" s="3"/>
    </row>
    <row r="499" spans="2:7" s="6" customFormat="1" x14ac:dyDescent="0.15">
      <c r="B499" s="19"/>
      <c r="C499" s="3"/>
      <c r="D499" s="3"/>
      <c r="G499" s="3"/>
    </row>
    <row r="500" spans="2:7" s="6" customFormat="1" x14ac:dyDescent="0.15">
      <c r="B500" s="19"/>
      <c r="C500" s="3"/>
      <c r="D500" s="3"/>
      <c r="G500" s="3"/>
    </row>
    <row r="501" spans="2:7" s="6" customFormat="1" x14ac:dyDescent="0.15">
      <c r="B501" s="19"/>
      <c r="C501" s="3"/>
      <c r="D501" s="3"/>
      <c r="G501" s="3"/>
    </row>
    <row r="502" spans="2:7" s="6" customFormat="1" x14ac:dyDescent="0.15">
      <c r="B502" s="19"/>
      <c r="C502" s="3"/>
      <c r="D502" s="3"/>
      <c r="G502" s="3"/>
    </row>
    <row r="503" spans="2:7" s="6" customFormat="1" x14ac:dyDescent="0.15">
      <c r="B503" s="19"/>
      <c r="C503" s="3"/>
      <c r="D503" s="3"/>
      <c r="G503" s="3"/>
    </row>
    <row r="504" spans="2:7" s="6" customFormat="1" x14ac:dyDescent="0.15">
      <c r="B504" s="19"/>
      <c r="C504" s="3"/>
      <c r="D504" s="3"/>
      <c r="G504" s="3"/>
    </row>
    <row r="505" spans="2:7" s="6" customFormat="1" x14ac:dyDescent="0.15">
      <c r="B505" s="19"/>
      <c r="C505" s="3"/>
      <c r="D505" s="3"/>
      <c r="G505" s="3"/>
    </row>
    <row r="506" spans="2:7" s="6" customFormat="1" x14ac:dyDescent="0.15">
      <c r="B506" s="19"/>
      <c r="C506" s="3"/>
      <c r="D506" s="3"/>
      <c r="G506" s="3"/>
    </row>
    <row r="507" spans="2:7" s="6" customFormat="1" x14ac:dyDescent="0.15">
      <c r="B507" s="19"/>
      <c r="C507" s="3"/>
      <c r="D507" s="3"/>
      <c r="G507" s="3"/>
    </row>
    <row r="508" spans="2:7" s="6" customFormat="1" x14ac:dyDescent="0.15">
      <c r="B508" s="19"/>
      <c r="C508" s="3"/>
      <c r="D508" s="3"/>
      <c r="G508" s="3"/>
    </row>
    <row r="509" spans="2:7" s="6" customFormat="1" x14ac:dyDescent="0.15">
      <c r="B509" s="19"/>
      <c r="C509" s="3"/>
      <c r="D509" s="3"/>
      <c r="G509" s="3"/>
    </row>
    <row r="510" spans="2:7" s="6" customFormat="1" x14ac:dyDescent="0.15">
      <c r="B510" s="19"/>
      <c r="C510" s="3"/>
      <c r="D510" s="3"/>
      <c r="G510" s="3"/>
    </row>
    <row r="511" spans="2:7" s="6" customFormat="1" x14ac:dyDescent="0.15">
      <c r="B511" s="19"/>
      <c r="C511" s="3"/>
      <c r="D511" s="3"/>
      <c r="G511" s="3"/>
    </row>
    <row r="512" spans="2:7" s="6" customFormat="1" x14ac:dyDescent="0.15">
      <c r="B512" s="19"/>
      <c r="C512" s="3"/>
      <c r="D512" s="3"/>
      <c r="G512" s="3"/>
    </row>
    <row r="513" spans="2:7" s="6" customFormat="1" x14ac:dyDescent="0.15">
      <c r="B513" s="19"/>
      <c r="C513" s="3"/>
      <c r="D513" s="3"/>
      <c r="G513" s="3"/>
    </row>
    <row r="514" spans="2:7" s="6" customFormat="1" x14ac:dyDescent="0.15">
      <c r="B514" s="19"/>
      <c r="C514" s="3"/>
      <c r="D514" s="3"/>
      <c r="G514" s="3"/>
    </row>
    <row r="515" spans="2:7" s="6" customFormat="1" x14ac:dyDescent="0.15">
      <c r="B515" s="19"/>
      <c r="C515" s="3"/>
      <c r="D515" s="3"/>
      <c r="G515" s="3"/>
    </row>
    <row r="516" spans="2:7" s="6" customFormat="1" x14ac:dyDescent="0.15">
      <c r="B516" s="19"/>
      <c r="C516" s="3"/>
      <c r="D516" s="3"/>
      <c r="G516" s="3"/>
    </row>
    <row r="517" spans="2:7" s="6" customFormat="1" x14ac:dyDescent="0.15">
      <c r="B517" s="19"/>
      <c r="C517" s="3"/>
      <c r="D517" s="3"/>
      <c r="G517" s="3"/>
    </row>
    <row r="518" spans="2:7" s="6" customFormat="1" x14ac:dyDescent="0.15">
      <c r="B518" s="19"/>
      <c r="C518" s="3"/>
      <c r="D518" s="3"/>
      <c r="G518" s="3"/>
    </row>
    <row r="519" spans="2:7" s="6" customFormat="1" x14ac:dyDescent="0.15">
      <c r="B519" s="19"/>
      <c r="C519" s="3"/>
      <c r="D519" s="3"/>
      <c r="G519" s="3"/>
    </row>
    <row r="520" spans="2:7" s="6" customFormat="1" x14ac:dyDescent="0.15">
      <c r="B520" s="19"/>
      <c r="C520" s="3"/>
      <c r="D520" s="3"/>
      <c r="G520" s="3"/>
    </row>
    <row r="521" spans="2:7" s="6" customFormat="1" x14ac:dyDescent="0.15">
      <c r="B521" s="19"/>
      <c r="C521" s="3"/>
      <c r="D521" s="3"/>
      <c r="G521" s="3"/>
    </row>
    <row r="522" spans="2:7" s="6" customFormat="1" x14ac:dyDescent="0.15">
      <c r="B522" s="19"/>
      <c r="C522" s="3"/>
      <c r="D522" s="3"/>
      <c r="G522" s="3"/>
    </row>
    <row r="523" spans="2:7" s="6" customFormat="1" x14ac:dyDescent="0.15">
      <c r="B523" s="19"/>
      <c r="C523" s="3"/>
      <c r="D523" s="3"/>
      <c r="G523" s="3"/>
    </row>
    <row r="524" spans="2:7" s="6" customFormat="1" x14ac:dyDescent="0.15">
      <c r="B524" s="19"/>
      <c r="C524" s="3"/>
      <c r="D524" s="3"/>
      <c r="G524" s="3"/>
    </row>
    <row r="525" spans="2:7" s="6" customFormat="1" x14ac:dyDescent="0.15">
      <c r="B525" s="19"/>
      <c r="C525" s="3"/>
      <c r="D525" s="3"/>
      <c r="G525" s="3"/>
    </row>
    <row r="526" spans="2:7" s="6" customFormat="1" x14ac:dyDescent="0.15">
      <c r="B526" s="19"/>
      <c r="C526" s="3"/>
      <c r="D526" s="3"/>
      <c r="G526" s="3"/>
    </row>
    <row r="527" spans="2:7" s="6" customFormat="1" x14ac:dyDescent="0.15">
      <c r="B527" s="19"/>
      <c r="C527" s="3"/>
      <c r="D527" s="3"/>
      <c r="G527" s="3"/>
    </row>
    <row r="528" spans="2:7" s="6" customFormat="1" x14ac:dyDescent="0.15">
      <c r="B528" s="19"/>
      <c r="C528" s="3"/>
      <c r="D528" s="3"/>
      <c r="G528" s="3"/>
    </row>
    <row r="529" spans="2:7" s="6" customFormat="1" x14ac:dyDescent="0.15">
      <c r="B529" s="19"/>
      <c r="C529" s="3"/>
      <c r="D529" s="3"/>
      <c r="G529" s="3"/>
    </row>
    <row r="530" spans="2:7" s="6" customFormat="1" x14ac:dyDescent="0.15">
      <c r="B530" s="19"/>
      <c r="C530" s="3"/>
      <c r="D530" s="3"/>
      <c r="G530" s="3"/>
    </row>
    <row r="531" spans="2:7" s="6" customFormat="1" x14ac:dyDescent="0.15">
      <c r="B531" s="19"/>
      <c r="C531" s="3"/>
      <c r="D531" s="3"/>
      <c r="G531" s="3"/>
    </row>
    <row r="532" spans="2:7" s="6" customFormat="1" x14ac:dyDescent="0.15">
      <c r="B532" s="19"/>
      <c r="C532" s="3"/>
      <c r="D532" s="3"/>
      <c r="G532" s="3"/>
    </row>
    <row r="533" spans="2:7" s="6" customFormat="1" x14ac:dyDescent="0.15">
      <c r="B533" s="19"/>
      <c r="C533" s="3"/>
      <c r="D533" s="3"/>
      <c r="G533" s="3"/>
    </row>
    <row r="534" spans="2:7" s="6" customFormat="1" x14ac:dyDescent="0.15">
      <c r="B534" s="19"/>
      <c r="C534" s="3"/>
      <c r="D534" s="3"/>
      <c r="G534" s="3"/>
    </row>
    <row r="535" spans="2:7" s="6" customFormat="1" x14ac:dyDescent="0.15">
      <c r="B535" s="19"/>
      <c r="C535" s="3"/>
      <c r="D535" s="3"/>
      <c r="G535" s="3"/>
    </row>
    <row r="536" spans="2:7" s="6" customFormat="1" x14ac:dyDescent="0.15">
      <c r="B536" s="19"/>
      <c r="C536" s="3"/>
      <c r="D536" s="3"/>
      <c r="G536" s="3"/>
    </row>
    <row r="537" spans="2:7" s="6" customFormat="1" x14ac:dyDescent="0.15">
      <c r="B537" s="19"/>
      <c r="C537" s="3"/>
      <c r="D537" s="3"/>
      <c r="G537" s="3"/>
    </row>
    <row r="538" spans="2:7" s="6" customFormat="1" x14ac:dyDescent="0.15">
      <c r="B538" s="19"/>
      <c r="C538" s="3"/>
      <c r="D538" s="3"/>
      <c r="G538" s="3"/>
    </row>
    <row r="539" spans="2:7" s="6" customFormat="1" x14ac:dyDescent="0.15">
      <c r="B539" s="19"/>
      <c r="C539" s="3"/>
      <c r="D539" s="3"/>
      <c r="G539" s="3"/>
    </row>
    <row r="540" spans="2:7" s="6" customFormat="1" x14ac:dyDescent="0.15">
      <c r="B540" s="19"/>
      <c r="C540" s="3"/>
      <c r="D540" s="3"/>
      <c r="G540" s="3"/>
    </row>
    <row r="541" spans="2:7" s="6" customFormat="1" x14ac:dyDescent="0.15">
      <c r="B541" s="19"/>
      <c r="C541" s="3"/>
      <c r="D541" s="3"/>
      <c r="G541" s="3"/>
    </row>
    <row r="542" spans="2:7" s="6" customFormat="1" x14ac:dyDescent="0.15">
      <c r="B542" s="19"/>
      <c r="C542" s="3"/>
      <c r="D542" s="3"/>
      <c r="G542" s="3"/>
    </row>
    <row r="543" spans="2:7" s="6" customFormat="1" x14ac:dyDescent="0.15">
      <c r="B543" s="19"/>
      <c r="C543" s="3"/>
      <c r="D543" s="3"/>
      <c r="G543" s="3"/>
    </row>
    <row r="544" spans="2:7" s="6" customFormat="1" x14ac:dyDescent="0.15">
      <c r="B544" s="19"/>
      <c r="C544" s="3"/>
      <c r="D544" s="3"/>
      <c r="G544" s="3"/>
    </row>
    <row r="545" spans="2:7" s="6" customFormat="1" x14ac:dyDescent="0.15">
      <c r="B545" s="19"/>
      <c r="C545" s="3"/>
      <c r="D545" s="3"/>
      <c r="G545" s="3"/>
    </row>
    <row r="546" spans="2:7" s="6" customFormat="1" x14ac:dyDescent="0.15">
      <c r="B546" s="19"/>
      <c r="C546" s="3"/>
      <c r="D546" s="3"/>
      <c r="G546" s="3"/>
    </row>
    <row r="547" spans="2:7" s="6" customFormat="1" x14ac:dyDescent="0.15">
      <c r="B547" s="19"/>
      <c r="C547" s="3"/>
      <c r="D547" s="3"/>
      <c r="G547" s="3"/>
    </row>
    <row r="548" spans="2:7" s="6" customFormat="1" x14ac:dyDescent="0.15">
      <c r="B548" s="19"/>
      <c r="C548" s="3"/>
      <c r="D548" s="3"/>
      <c r="G548" s="3"/>
    </row>
    <row r="549" spans="2:7" s="6" customFormat="1" x14ac:dyDescent="0.15">
      <c r="B549" s="19"/>
      <c r="C549" s="3"/>
      <c r="D549" s="3"/>
      <c r="G549" s="3"/>
    </row>
    <row r="550" spans="2:7" s="6" customFormat="1" x14ac:dyDescent="0.15">
      <c r="B550" s="19"/>
      <c r="C550" s="3"/>
      <c r="D550" s="3"/>
      <c r="G550" s="3"/>
    </row>
    <row r="551" spans="2:7" s="6" customFormat="1" x14ac:dyDescent="0.15">
      <c r="B551" s="19"/>
      <c r="C551" s="3"/>
      <c r="D551" s="3"/>
      <c r="G551" s="3"/>
    </row>
    <row r="552" spans="2:7" s="6" customFormat="1" x14ac:dyDescent="0.15">
      <c r="B552" s="19"/>
      <c r="C552" s="3"/>
      <c r="D552" s="3"/>
      <c r="G552" s="3"/>
    </row>
    <row r="553" spans="2:7" s="6" customFormat="1" x14ac:dyDescent="0.15">
      <c r="B553" s="19"/>
      <c r="C553" s="3"/>
      <c r="D553" s="3"/>
      <c r="G553" s="3"/>
    </row>
    <row r="554" spans="2:7" s="6" customFormat="1" x14ac:dyDescent="0.15">
      <c r="B554" s="19"/>
      <c r="C554" s="3"/>
      <c r="D554" s="3"/>
      <c r="G554" s="3"/>
    </row>
    <row r="555" spans="2:7" s="6" customFormat="1" x14ac:dyDescent="0.15">
      <c r="B555" s="19"/>
      <c r="C555" s="3"/>
      <c r="D555" s="3"/>
      <c r="G555" s="3"/>
    </row>
    <row r="556" spans="2:7" s="6" customFormat="1" x14ac:dyDescent="0.15">
      <c r="B556" s="19"/>
      <c r="C556" s="3"/>
      <c r="D556" s="3"/>
      <c r="G556" s="3"/>
    </row>
    <row r="557" spans="2:7" s="6" customFormat="1" x14ac:dyDescent="0.15">
      <c r="B557" s="19"/>
      <c r="C557" s="3"/>
      <c r="D557" s="3"/>
      <c r="G557" s="3"/>
    </row>
    <row r="558" spans="2:7" s="6" customFormat="1" x14ac:dyDescent="0.15">
      <c r="B558" s="19"/>
      <c r="C558" s="3"/>
      <c r="D558" s="3"/>
      <c r="G558" s="3"/>
    </row>
    <row r="559" spans="2:7" s="6" customFormat="1" x14ac:dyDescent="0.15">
      <c r="B559" s="19"/>
      <c r="C559" s="3"/>
      <c r="D559" s="3"/>
      <c r="G559" s="3"/>
    </row>
    <row r="560" spans="2:7" s="6" customFormat="1" x14ac:dyDescent="0.15">
      <c r="B560" s="19"/>
      <c r="C560" s="3"/>
      <c r="D560" s="3"/>
      <c r="G560" s="3"/>
    </row>
    <row r="561" spans="2:7" s="6" customFormat="1" x14ac:dyDescent="0.15">
      <c r="B561" s="19"/>
      <c r="C561" s="3"/>
      <c r="D561" s="3"/>
      <c r="G561" s="3"/>
    </row>
    <row r="562" spans="2:7" s="6" customFormat="1" x14ac:dyDescent="0.15">
      <c r="B562" s="19"/>
      <c r="C562" s="3"/>
      <c r="D562" s="3"/>
      <c r="G562" s="3"/>
    </row>
  </sheetData>
  <sheetProtection selectLockedCells="1" selectUnlockedCells="1"/>
  <mergeCells count="2">
    <mergeCell ref="C1:D1"/>
    <mergeCell ref="C88:E88"/>
  </mergeCells>
  <printOptions gridLines="1"/>
  <pageMargins left="0.11805555555555557" right="0.11805555555555557" top="0.74861111111111112" bottom="0.74861111111111112" header="0.31527777777777777" footer="0.31527777777777777"/>
  <pageSetup paperSize="9" firstPageNumber="0" orientation="portrait" horizontalDpi="300" verticalDpi="300"/>
  <headerFooter alignWithMargins="0">
    <oddHeader>&amp;L&amp;8&amp;F</oddHeader>
    <oddFooter>&amp;RSide &amp;P</oddFooter>
  </headerFooter>
  <rowBreaks count="4" manualBreakCount="4">
    <brk id="118" max="16383" man="1"/>
    <brk id="176" max="16383" man="1"/>
    <brk id="296" max="16383" man="1"/>
    <brk id="352" max="16383" man="1"/>
  </rowBreaks>
</worksheet>
</file>